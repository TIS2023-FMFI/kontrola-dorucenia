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rag\Desktop\kontrola-dorucenia-main\website\"/>
    </mc:Choice>
  </mc:AlternateContent>
  <xr:revisionPtr revIDLastSave="0" documentId="13_ncr:20001_{8682E50D-96F4-43DA-87F4-17170240182A}" xr6:coauthVersionLast="47" xr6:coauthVersionMax="47" xr10:uidLastSave="{00000000-0000-0000-0000-000000000000}"/>
  <bookViews>
    <workbookView xWindow="-120" yWindow="-120" windowWidth="24240" windowHeight="13140" tabRatio="500" activeTab="1" xr2:uid="{00000000-000D-0000-FFFF-FFFF00000000}"/>
  </bookViews>
  <sheets>
    <sheet name="Start" sheetId="1" r:id="rId1"/>
    <sheet name="databaza" sheetId="2" r:id="rId2"/>
    <sheet name="minuly tyzden" sheetId="3" r:id="rId3"/>
    <sheet name="MF new" sheetId="4" state="hidden" r:id="rId4"/>
    <sheet name="MF" sheetId="5" r:id="rId5"/>
    <sheet name="30dnova " sheetId="6" state="hidden" r:id="rId6"/>
    <sheet name="dopravcovia" sheetId="7" r:id="rId7"/>
    <sheet name="negativne transporty" sheetId="8" r:id="rId8"/>
    <sheet name="LTL" sheetId="9" r:id="rId9"/>
    <sheet name="SPOT TPO" sheetId="10" r:id="rId10"/>
  </sheets>
  <definedNames>
    <definedName name="_xlcn.LinkedTable_Table11">Table1[]</definedName>
    <definedName name="NativeTimeline_LOADING_DATE">#N/A</definedName>
    <definedName name="_xlnm.Print_Area" localSheetId="9">'SPOT TPO'!$A$1:$H$40</definedName>
    <definedName name="setFiles">Start!$A$2:$A$7</definedName>
  </definedNames>
  <calcPr calcId="0" iterateDelta="1E-4"/>
  <fileRecoveryPr repairLoad="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95" i="6" l="1"/>
  <c r="E74" i="6"/>
  <c r="K2" i="3"/>
  <c r="J2" i="3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V2" i="2"/>
</calcChain>
</file>

<file path=xl/sharedStrings.xml><?xml version="1.0" encoding="utf-8"?>
<sst xmlns="http://schemas.openxmlformats.org/spreadsheetml/2006/main" count="10008" uniqueCount="1541">
  <si>
    <t>https://cevalogisticsoffice365.sharepoint.com/sites/ovlkosice/Shared Documents/Produktivita/plachty 2023/Evka plachta 2023.xlsx</t>
  </si>
  <si>
    <t>https://cevalogisticsoffice365.sharepoint.com/sites/ovlkosice/Shared Documents/Produktivita/plachty 2023/Katka plachta 2023.xlsx</t>
  </si>
  <si>
    <t>https://cevalogisticsoffice365.sharepoint.com/sites/ovlkosice/Shared%20Documents/Produktivita/plachty%202023/Peto%20Tomi%20Plachta%202023.xlsx</t>
  </si>
  <si>
    <t>https://cevalogisticsoffice365.sharepoint.com/sites/ovlkosice/Shared Documents/Produktivita/plachty 2023/Majka plachta 2023.xlsx</t>
  </si>
  <si>
    <t>https://cevalogisticsoffice365.sharepoint.com/sites/ovlkosice/Shared Documents/Produktivita/plachty 2023/Miro plachta 2023.xlsx</t>
  </si>
  <si>
    <t>https://cevalogisticsoffice365.sharepoint.com/sites/ovlkosice/Shared Documents/Produktivita/plachty 2023/Adka plachta 2023.xlsx</t>
  </si>
  <si>
    <t xml:space="preserve"> </t>
  </si>
  <si>
    <t>WEEK</t>
  </si>
  <si>
    <t>CLIENT</t>
  </si>
  <si>
    <t>LOADING CTR</t>
  </si>
  <si>
    <t>LOADING ZIP</t>
  </si>
  <si>
    <t>LOADING CITY</t>
  </si>
  <si>
    <t>LOADING DATE</t>
  </si>
  <si>
    <t>LOADING TIME</t>
  </si>
  <si>
    <t>DELIVERY CTR</t>
  </si>
  <si>
    <t>DELIVERY ZIP</t>
  </si>
  <si>
    <t>DELIVERY CITY</t>
  </si>
  <si>
    <t>DELIVERY DATE</t>
  </si>
  <si>
    <t>DELIVERY TIME</t>
  </si>
  <si>
    <t>BOOKING REFERENCE</t>
  </si>
  <si>
    <t>TRUCK TYPE</t>
  </si>
  <si>
    <t>LTL / FTL</t>
  </si>
  <si>
    <t>GROSS WEIGHT [KG]</t>
  </si>
  <si>
    <t>TRUCK PLATES</t>
  </si>
  <si>
    <t>CARRIER</t>
  </si>
  <si>
    <t>SALES [€]</t>
  </si>
  <si>
    <t>PURCHASE [€]</t>
  </si>
  <si>
    <t>MARGIN [€]</t>
  </si>
  <si>
    <t>MARGIN [%]</t>
  </si>
  <si>
    <t>CF</t>
  </si>
  <si>
    <t>VF</t>
  </si>
  <si>
    <t>KM</t>
  </si>
  <si>
    <t>REMARK</t>
  </si>
  <si>
    <t>PIC</t>
  </si>
  <si>
    <t>PURCHASE [€/KM]</t>
  </si>
  <si>
    <t>SALES [€/KM]</t>
  </si>
  <si>
    <t>COLLI [KS]</t>
  </si>
  <si>
    <t>LDM</t>
  </si>
  <si>
    <t>DEMURRAGE COST / CLIENT</t>
  </si>
  <si>
    <t>DEMURRAGE COST / HAULIER</t>
  </si>
  <si>
    <t>CLIENT PENALTIES</t>
  </si>
  <si>
    <t xml:space="preserve"> HAULIER PENALTIES</t>
  </si>
  <si>
    <t>NC/R</t>
  </si>
  <si>
    <t># LOADINGS</t>
  </si>
  <si>
    <t>START STATUS</t>
  </si>
  <si>
    <t># UNLOADINGS</t>
  </si>
  <si>
    <t>STOP STATUS</t>
  </si>
  <si>
    <t>TRAILER PLATES</t>
  </si>
  <si>
    <t>04CROWNCOMMERCIAL</t>
  </si>
  <si>
    <t>SK</t>
  </si>
  <si>
    <t>04</t>
  </si>
  <si>
    <t>Kechnec</t>
  </si>
  <si>
    <t>H</t>
  </si>
  <si>
    <t>35</t>
  </si>
  <si>
    <t>Bocs</t>
  </si>
  <si>
    <t>MEGA</t>
  </si>
  <si>
    <t>FTL</t>
  </si>
  <si>
    <t>FKA266/XYV808</t>
  </si>
  <si>
    <t>34ATTILAVERES</t>
  </si>
  <si>
    <t>T9212067628</t>
  </si>
  <si>
    <t>ES</t>
  </si>
  <si>
    <t>OK</t>
  </si>
  <si>
    <t>LAF261/XWZ074</t>
  </si>
  <si>
    <t>T9212067629</t>
  </si>
  <si>
    <t>MNJ118/XWG715</t>
  </si>
  <si>
    <t>T9212067630</t>
  </si>
  <si>
    <t>PL</t>
  </si>
  <si>
    <t>32</t>
  </si>
  <si>
    <t>Staniatki</t>
  </si>
  <si>
    <t>JUMBO</t>
  </si>
  <si>
    <t>DSWNJ42/RDE4387P</t>
  </si>
  <si>
    <t>39UTGRZESIAKOWSKI</t>
  </si>
  <si>
    <t>T9212067631</t>
  </si>
  <si>
    <t>MK</t>
  </si>
  <si>
    <t xml:space="preserve"> DSWMK72/DSW642AC</t>
  </si>
  <si>
    <t>T9212067632</t>
  </si>
  <si>
    <t>x</t>
  </si>
  <si>
    <t>RDE64798/RDE3850P</t>
  </si>
  <si>
    <t>9215166324/9215166392</t>
  </si>
  <si>
    <t>T9212067633/T9212067700</t>
  </si>
  <si>
    <t>RDE66008/RDE3900P</t>
  </si>
  <si>
    <t>T9212067634</t>
  </si>
  <si>
    <t>DSWMK71/RDE641AC</t>
  </si>
  <si>
    <t>T9212067640</t>
  </si>
  <si>
    <t>23</t>
  </si>
  <si>
    <t>Dunaharaszti</t>
  </si>
  <si>
    <t>AABJ886/AACE580</t>
  </si>
  <si>
    <t>9215166268/9215166350</t>
  </si>
  <si>
    <t>T9212067586/T9212067660</t>
  </si>
  <si>
    <t>AV</t>
  </si>
  <si>
    <t>A</t>
  </si>
  <si>
    <t>24</t>
  </si>
  <si>
    <t>Edelstal</t>
  </si>
  <si>
    <t>PO202HB/PO677YK</t>
  </si>
  <si>
    <t>08KOPEXSERVICES</t>
  </si>
  <si>
    <t>T9212067615</t>
  </si>
  <si>
    <t>179200/9LLV</t>
  </si>
  <si>
    <t>PO681IS/PO081YO</t>
  </si>
  <si>
    <t>08HELPOLTRANS-SVK</t>
  </si>
  <si>
    <t>9215166301/9215166307</t>
  </si>
  <si>
    <t>T9212067620</t>
  </si>
  <si>
    <t>179401/BD4G</t>
  </si>
  <si>
    <t>08</t>
  </si>
  <si>
    <t>Prešov</t>
  </si>
  <si>
    <t>PO014HK/KE757YR</t>
  </si>
  <si>
    <t>T9212067623</t>
  </si>
  <si>
    <t>179404/XT9X</t>
  </si>
  <si>
    <t xml:space="preserve">PO837FR/PO153YK  </t>
  </si>
  <si>
    <t>T9212067624</t>
  </si>
  <si>
    <t>179342/73RJ</t>
  </si>
  <si>
    <t>Hurbanovo</t>
  </si>
  <si>
    <t>TV248EG/TV377YI</t>
  </si>
  <si>
    <t>07ESTRI-SK</t>
  </si>
  <si>
    <t>T9212067613</t>
  </si>
  <si>
    <t xml:space="preserve">PO078HF/KE807YR </t>
  </si>
  <si>
    <t>T9212067625</t>
  </si>
  <si>
    <t>179343/9MK6</t>
  </si>
  <si>
    <t>HE627CB/HE267YE</t>
  </si>
  <si>
    <t>06LABANC</t>
  </si>
  <si>
    <t>T9212067626</t>
  </si>
  <si>
    <t>179408/ADCY</t>
  </si>
  <si>
    <t>119545/2353825</t>
  </si>
  <si>
    <t>NZ104GA/NZ597YP</t>
  </si>
  <si>
    <t>94DOPRAVAVINCE</t>
  </si>
  <si>
    <t>9215166238/4353062199</t>
  </si>
  <si>
    <t>T9212067561</t>
  </si>
  <si>
    <t>179402/YMET - v pondelok 31/07 rano o 07:00 nalozi Zavar - Ushin - vykladka v 31/08 o 14:00</t>
  </si>
  <si>
    <t>Prešov+Kechnec</t>
  </si>
  <si>
    <t>119546 + 119622</t>
  </si>
  <si>
    <t>PO305HX/KE707YR</t>
  </si>
  <si>
    <t>9215166309/9215166310</t>
  </si>
  <si>
    <t>T9212067622</t>
  </si>
  <si>
    <t>179403/IMTI</t>
  </si>
  <si>
    <t>Schwechat</t>
  </si>
  <si>
    <t>BH12LZS/BH12JJJ</t>
  </si>
  <si>
    <t>41LAZAU-SK</t>
  </si>
  <si>
    <t>T9212067522</t>
  </si>
  <si>
    <t>81CROWNBEVCAN</t>
  </si>
  <si>
    <t>F</t>
  </si>
  <si>
    <t>68</t>
  </si>
  <si>
    <t>Biesheim</t>
  </si>
  <si>
    <t>SROT353/679371</t>
  </si>
  <si>
    <t>STANDARD</t>
  </si>
  <si>
    <t>c1</t>
  </si>
  <si>
    <t>SO378BE/SO408YC</t>
  </si>
  <si>
    <t>07BUSINESSPARTNER</t>
  </si>
  <si>
    <t>T9212067646</t>
  </si>
  <si>
    <t>T9212067661</t>
  </si>
  <si>
    <t>T9212067662</t>
  </si>
  <si>
    <t>T9212067663</t>
  </si>
  <si>
    <t>T9212067480</t>
  </si>
  <si>
    <t>T9212067670</t>
  </si>
  <si>
    <t>D01HONEYWELL-SK</t>
  </si>
  <si>
    <t>UK</t>
  </si>
  <si>
    <t>LL</t>
  </si>
  <si>
    <t>Wrexham</t>
  </si>
  <si>
    <t>91</t>
  </si>
  <si>
    <t>STARA TURA</t>
  </si>
  <si>
    <t>POBJ nr.: 1936750041</t>
  </si>
  <si>
    <t>LTL</t>
  </si>
  <si>
    <t>NR091IA/NR806YV</t>
  </si>
  <si>
    <t>94ZOBORTRANS-SK</t>
  </si>
  <si>
    <t>T9212067566</t>
  </si>
  <si>
    <t>PD</t>
  </si>
  <si>
    <t>HP</t>
  </si>
  <si>
    <t>Haddenham</t>
  </si>
  <si>
    <t>sk</t>
  </si>
  <si>
    <t>POBJ 1774620564</t>
  </si>
  <si>
    <t>NR091KT/NR533YT</t>
  </si>
  <si>
    <t>T9212067562</t>
  </si>
  <si>
    <t>GEFCO COVENTRY</t>
  </si>
  <si>
    <t>WR</t>
  </si>
  <si>
    <t>DROITWICH</t>
  </si>
  <si>
    <t>TRNAVA</t>
  </si>
  <si>
    <t>NR916IV/NR808YO</t>
  </si>
  <si>
    <t>T9212067627</t>
  </si>
  <si>
    <t>RZ6964W/RLE48NS</t>
  </si>
  <si>
    <t>37KOMAMARIUSZ-SVK</t>
  </si>
  <si>
    <t>T9212067643</t>
  </si>
  <si>
    <t>RZ958CU/RZ110CP</t>
  </si>
  <si>
    <t>T9212067644</t>
  </si>
  <si>
    <t>RZ960CU/RZ113CP</t>
  </si>
  <si>
    <t>9215166334/9215166393</t>
  </si>
  <si>
    <t>T9212067645/T9212067701</t>
  </si>
  <si>
    <t>23 30</t>
  </si>
  <si>
    <t>RDE36369/RDE1140P</t>
  </si>
  <si>
    <t>9215166357/9215166367</t>
  </si>
  <si>
    <t>T9212067664/T9212067674</t>
  </si>
  <si>
    <t xml:space="preserve">PO763ET/KE728YR </t>
  </si>
  <si>
    <t>T9212067653</t>
  </si>
  <si>
    <t>179407/PYWR</t>
  </si>
  <si>
    <t>TK</t>
  </si>
  <si>
    <t xml:space="preserve">PO030IL/PO671YN  </t>
  </si>
  <si>
    <t>T9212067651</t>
  </si>
  <si>
    <t>179406/SCN1</t>
  </si>
  <si>
    <t>T9212067654</t>
  </si>
  <si>
    <t>179435/BHZR</t>
  </si>
  <si>
    <t xml:space="preserve">PO684IS/PO081YO </t>
  </si>
  <si>
    <t>T9212067652</t>
  </si>
  <si>
    <t>179436/44ZX</t>
  </si>
  <si>
    <t>BJ661BY/BJ113YE</t>
  </si>
  <si>
    <t>08FRENK458-TF</t>
  </si>
  <si>
    <t>T9212067656</t>
  </si>
  <si>
    <t>179351/8AD6</t>
  </si>
  <si>
    <t>T9212067655</t>
  </si>
  <si>
    <t>179353/QTJJ</t>
  </si>
  <si>
    <t>DSCBRG1/DS665YP</t>
  </si>
  <si>
    <t>93COBURG</t>
  </si>
  <si>
    <t>T9212067657</t>
  </si>
  <si>
    <t>179358/4HDL</t>
  </si>
  <si>
    <t>STORNO</t>
  </si>
  <si>
    <t>BH15LLL/BH02JJJ</t>
  </si>
  <si>
    <t>T9212067524</t>
  </si>
  <si>
    <t>179365/2CU4</t>
  </si>
  <si>
    <t>CANCELLED</t>
  </si>
  <si>
    <t>179367/MXSL</t>
  </si>
  <si>
    <t>CZ</t>
  </si>
  <si>
    <t>Praha</t>
  </si>
  <si>
    <t xml:space="preserve">5Z86457/5Z58257 </t>
  </si>
  <si>
    <t>76PETRVALENTIK</t>
  </si>
  <si>
    <t>T9212067649</t>
  </si>
  <si>
    <t>PO830FB/PO168YJ</t>
  </si>
  <si>
    <t>08HESTA-SK</t>
  </si>
  <si>
    <t>9215166340/9215166342</t>
  </si>
  <si>
    <t>T9212067650</t>
  </si>
  <si>
    <t>SROT354/679372</t>
  </si>
  <si>
    <t>SO196BH/SO623YC</t>
  </si>
  <si>
    <t>T9212067647</t>
  </si>
  <si>
    <t>SROT356/679569</t>
  </si>
  <si>
    <t>SO686BA/SO179YC</t>
  </si>
  <si>
    <t>T9212067658</t>
  </si>
  <si>
    <t>T9212067671</t>
  </si>
  <si>
    <t>T9212067672</t>
  </si>
  <si>
    <t>T9212067673</t>
  </si>
  <si>
    <t>04U-SHIN</t>
  </si>
  <si>
    <t>KOSICE</t>
  </si>
  <si>
    <t>75</t>
  </si>
  <si>
    <t>ROZNOV POD RADHOSTEM</t>
  </si>
  <si>
    <t>ST</t>
  </si>
  <si>
    <t>PO998DG / PO943YI</t>
  </si>
  <si>
    <t>08CALIBRA</t>
  </si>
  <si>
    <t xml:space="preserve">T9212067546 </t>
  </si>
  <si>
    <t>RZ5286U/RZ6740P</t>
  </si>
  <si>
    <t>T9212067675</t>
  </si>
  <si>
    <t>RMI7599A/RMI8P33</t>
  </si>
  <si>
    <t>T9212067676</t>
  </si>
  <si>
    <t>RDE74140/RDE5110P</t>
  </si>
  <si>
    <t>T9212067677</t>
  </si>
  <si>
    <t>RDE16988/RDE88RT</t>
  </si>
  <si>
    <t>T9212067678</t>
  </si>
  <si>
    <t xml:space="preserve">DSWMK72/DSW642AC </t>
  </si>
  <si>
    <t>T9212067679</t>
  </si>
  <si>
    <t xml:space="preserve">RDE75603/RDE5312P </t>
  </si>
  <si>
    <t>T9212067680</t>
  </si>
  <si>
    <t>P1TGL60/RMI88G4</t>
  </si>
  <si>
    <t>T9212067681</t>
  </si>
  <si>
    <t>RZ643CN/RLE34NS</t>
  </si>
  <si>
    <t>T9212067682</t>
  </si>
  <si>
    <t>RZ351AT/RZ9726P</t>
  </si>
  <si>
    <t>T9212067683</t>
  </si>
  <si>
    <t>T9212067705</t>
  </si>
  <si>
    <t>179769/KY76</t>
  </si>
  <si>
    <t xml:space="preserve">PO030IL/PO671YN </t>
  </si>
  <si>
    <t>T9212067688</t>
  </si>
  <si>
    <t>179775/8XIG</t>
  </si>
  <si>
    <t>PO343HP/PO752YM</t>
  </si>
  <si>
    <t>08MUSKATRANSPORT</t>
  </si>
  <si>
    <t>T9212067684</t>
  </si>
  <si>
    <t>921516638/9215166390</t>
  </si>
  <si>
    <t>T9212067697</t>
  </si>
  <si>
    <t>179776/L765</t>
  </si>
  <si>
    <t xml:space="preserve">PO837FR/PO153YK </t>
  </si>
  <si>
    <t>T9212067690</t>
  </si>
  <si>
    <t>179881/K3XL</t>
  </si>
  <si>
    <t xml:space="preserve">PO014HK / KE757YR </t>
  </si>
  <si>
    <t>T9212067693</t>
  </si>
  <si>
    <t>179882/78UN</t>
  </si>
  <si>
    <t>pkg</t>
  </si>
  <si>
    <t>T9212067696</t>
  </si>
  <si>
    <t>SROT355/679373</t>
  </si>
  <si>
    <t>c3</t>
  </si>
  <si>
    <t>SO794AV/SO953YB</t>
  </si>
  <si>
    <t>T9212067648</t>
  </si>
  <si>
    <t>LS</t>
  </si>
  <si>
    <t>LEEDS</t>
  </si>
  <si>
    <t>KOCOVCE</t>
  </si>
  <si>
    <t>POBJ 1774640267</t>
  </si>
  <si>
    <t>NR706KK/NR414YS</t>
  </si>
  <si>
    <t>T9212067715</t>
  </si>
  <si>
    <t xml:space="preserve">RDE36369/RDE1140P </t>
  </si>
  <si>
    <t>T9212067706</t>
  </si>
  <si>
    <t xml:space="preserve">RDE66008/RDE3900P </t>
  </si>
  <si>
    <t>T9212067707</t>
  </si>
  <si>
    <t>priplatok 13% - 60,50</t>
  </si>
  <si>
    <t>RDE59144 /RDE3400P</t>
  </si>
  <si>
    <t>T9212067708</t>
  </si>
  <si>
    <t xml:space="preserve">RDE64798/RDE3850P </t>
  </si>
  <si>
    <t>T9212067709</t>
  </si>
  <si>
    <t>T9212067710</t>
  </si>
  <si>
    <t>RLE43939/RLE67MG</t>
  </si>
  <si>
    <t>T9212067711</t>
  </si>
  <si>
    <t xml:space="preserve">PO078HF / KE807YR </t>
  </si>
  <si>
    <t>T9212067695</t>
  </si>
  <si>
    <t>179880/9N95</t>
  </si>
  <si>
    <t>87</t>
  </si>
  <si>
    <t>Goss</t>
  </si>
  <si>
    <t>PO792IG/PO855YM</t>
  </si>
  <si>
    <t>08CROSSTRANS</t>
  </si>
  <si>
    <t>T9212067721</t>
  </si>
  <si>
    <t>Kechnec + Prešov</t>
  </si>
  <si>
    <t>119689/119723</t>
  </si>
  <si>
    <t>KE701NR/KE703YP</t>
  </si>
  <si>
    <t>04VLSTRADE-SK</t>
  </si>
  <si>
    <t>9215166436/9215166437</t>
  </si>
  <si>
    <t>T9212067736</t>
  </si>
  <si>
    <t>KP5059</t>
  </si>
  <si>
    <t>KE682MU/KE459YN</t>
  </si>
  <si>
    <t>04SITRANSLOG-SK</t>
  </si>
  <si>
    <t>T9212067704</t>
  </si>
  <si>
    <t>KP5060</t>
  </si>
  <si>
    <t>KP5061</t>
  </si>
  <si>
    <t>KP5062</t>
  </si>
  <si>
    <t>T9212067719</t>
  </si>
  <si>
    <t>PO837FR/PO153YK</t>
  </si>
  <si>
    <t>T9212067722</t>
  </si>
  <si>
    <t>180381/AIMK</t>
  </si>
  <si>
    <t>T9212067728</t>
  </si>
  <si>
    <t>180389/UD2W</t>
  </si>
  <si>
    <t>T9212067737</t>
  </si>
  <si>
    <t>T9212067738</t>
  </si>
  <si>
    <t>T9212067739</t>
  </si>
  <si>
    <t>AB1889350</t>
  </si>
  <si>
    <t>T9212067754</t>
  </si>
  <si>
    <t>82WHIRLPOOL</t>
  </si>
  <si>
    <t>05</t>
  </si>
  <si>
    <t>POPRAD</t>
  </si>
  <si>
    <t>BEAULIEU SUR LAYON</t>
  </si>
  <si>
    <t>mega</t>
  </si>
  <si>
    <t>DD</t>
  </si>
  <si>
    <t> </t>
  </si>
  <si>
    <t xml:space="preserve"> SO517BH / SO133YC </t>
  </si>
  <si>
    <t> T9212067612</t>
  </si>
  <si>
    <t>KU</t>
  </si>
  <si>
    <t>SP965BA/SP214YC</t>
  </si>
  <si>
    <t>09DTRANSSRO-SK</t>
  </si>
  <si>
    <t>T9212067712</t>
  </si>
  <si>
    <t>JUMBO ends</t>
  </si>
  <si>
    <t>PO648IS/PO081YO</t>
  </si>
  <si>
    <t>T9212067723</t>
  </si>
  <si>
    <t>180385/44VH</t>
  </si>
  <si>
    <t>9215166423/9215166424</t>
  </si>
  <si>
    <t>T9212067726/T9212067727</t>
  </si>
  <si>
    <t>180390/CCJD</t>
  </si>
  <si>
    <t>T9212067853</t>
  </si>
  <si>
    <t>180393/9RT3</t>
  </si>
  <si>
    <t xml:space="preserve">SL245CC/SL865YE </t>
  </si>
  <si>
    <t>06JDJTRANS</t>
  </si>
  <si>
    <t>T9212067725</t>
  </si>
  <si>
    <t>180392/T3Z8</t>
  </si>
  <si>
    <t>T9212067732</t>
  </si>
  <si>
    <t>PO947HG/PO106YM</t>
  </si>
  <si>
    <t>T9212067733</t>
  </si>
  <si>
    <t>KE039KS/KE829YM</t>
  </si>
  <si>
    <t>T9212067734</t>
  </si>
  <si>
    <t>KP5069</t>
  </si>
  <si>
    <t>T9212067730</t>
  </si>
  <si>
    <t>KP5070</t>
  </si>
  <si>
    <t>KP5071</t>
  </si>
  <si>
    <t>KP5072</t>
  </si>
  <si>
    <t>KE925NM/KE088YR</t>
  </si>
  <si>
    <t>T9212067731</t>
  </si>
  <si>
    <t>KP5073</t>
  </si>
  <si>
    <t>T9212067755</t>
  </si>
  <si>
    <t>T9212067756</t>
  </si>
  <si>
    <t>T9212067757</t>
  </si>
  <si>
    <t>SROT357/680024</t>
  </si>
  <si>
    <t>T9212067752</t>
  </si>
  <si>
    <t>07</t>
  </si>
  <si>
    <t>MICHALOVCE</t>
  </si>
  <si>
    <t>PF 015674</t>
  </si>
  <si>
    <t>SOLO</t>
  </si>
  <si>
    <t>KE007MA</t>
  </si>
  <si>
    <t>04MARKO-SK</t>
  </si>
  <si>
    <t>T9212067720</t>
  </si>
  <si>
    <t>I</t>
  </si>
  <si>
    <t>29</t>
  </si>
  <si>
    <t>PIACENZA</t>
  </si>
  <si>
    <t>RPL</t>
  </si>
  <si>
    <t>259ks</t>
  </si>
  <si>
    <t>LM166CU/LM554YF</t>
  </si>
  <si>
    <t>03LUKRI-SK-MF</t>
  </si>
  <si>
    <t>T9212067713</t>
  </si>
  <si>
    <t>MITRY MORY</t>
  </si>
  <si>
    <t>180ks</t>
  </si>
  <si>
    <t>SN760DS / SN305YG</t>
  </si>
  <si>
    <t>05KIMEX</t>
  </si>
  <si>
    <t>T9212067667</t>
  </si>
  <si>
    <t>HENIN BEAUMONT</t>
  </si>
  <si>
    <t>BT538IH/SN613YE</t>
  </si>
  <si>
    <t>05MHTRANSPORT-SK</t>
  </si>
  <si>
    <t>T9212067666</t>
  </si>
  <si>
    <t>GRAVESON</t>
  </si>
  <si>
    <t>SO894BD / SO464YC </t>
  </si>
  <si>
    <t> 9215166298</t>
  </si>
  <si>
    <t> T9212067614</t>
  </si>
  <si>
    <t xml:space="preserve">SL148CB/SL818YE </t>
  </si>
  <si>
    <t>9215166449/9215166450</t>
  </si>
  <si>
    <t>T9212067748/T9212067749</t>
  </si>
  <si>
    <t>PO078HF/KE807YR</t>
  </si>
  <si>
    <t>T9212067764</t>
  </si>
  <si>
    <t>PO764HP/PO114YN</t>
  </si>
  <si>
    <t>T9212067762</t>
  </si>
  <si>
    <t xml:space="preserve">PO202HB/PO677YK </t>
  </si>
  <si>
    <t>T9212067763</t>
  </si>
  <si>
    <t xml:space="preserve">PO305HX/KE707YR </t>
  </si>
  <si>
    <t>T9212067758</t>
  </si>
  <si>
    <t>180391/43C8</t>
  </si>
  <si>
    <t>T9212067759</t>
  </si>
  <si>
    <t>180394/HKMX</t>
  </si>
  <si>
    <t>T9212067729</t>
  </si>
  <si>
    <t>180542/</t>
  </si>
  <si>
    <t>180543/</t>
  </si>
  <si>
    <t>180545/</t>
  </si>
  <si>
    <t>180544/</t>
  </si>
  <si>
    <t>180546/</t>
  </si>
  <si>
    <t>PO031IL/PO671YN</t>
  </si>
  <si>
    <t>T9212067724/T2002599842</t>
  </si>
  <si>
    <t xml:space="preserve">180396/249Q, Zavar spat PO030IL/PO671YN </t>
  </si>
  <si>
    <t>DSCBRG3/DS130YR</t>
  </si>
  <si>
    <t>T9212067771</t>
  </si>
  <si>
    <t>180544/NQ13</t>
  </si>
  <si>
    <t>T9212067761</t>
  </si>
  <si>
    <t>T9212067765</t>
  </si>
  <si>
    <t>T9212067766</t>
  </si>
  <si>
    <t xml:space="preserve">SL367BO/SL947YD  </t>
  </si>
  <si>
    <t>T9212067767</t>
  </si>
  <si>
    <t>KP5063</t>
  </si>
  <si>
    <t>T9212067777</t>
  </si>
  <si>
    <t>KP5064</t>
  </si>
  <si>
    <t>KP5074</t>
  </si>
  <si>
    <t>KE719LX/KE140YP</t>
  </si>
  <si>
    <t>T9212067778</t>
  </si>
  <si>
    <t>KP5075</t>
  </si>
  <si>
    <t>KP5076</t>
  </si>
  <si>
    <t>T9212067793</t>
  </si>
  <si>
    <t>T9212067794</t>
  </si>
  <si>
    <t>T9212067795</t>
  </si>
  <si>
    <t>SROT358/680255</t>
  </si>
  <si>
    <t>SO525BH/SO021YC</t>
  </si>
  <si>
    <t>T9212067784</t>
  </si>
  <si>
    <t>RT</t>
  </si>
  <si>
    <t>PP555DP / PP650YG</t>
  </si>
  <si>
    <t>05TRANSGOLD</t>
  </si>
  <si>
    <t>9215166499; 9215166500</t>
  </si>
  <si>
    <t>T9212067792</t>
  </si>
  <si>
    <t>MEGA ends</t>
  </si>
  <si>
    <t>PO202GY/PO829YL</t>
  </si>
  <si>
    <t>T9212067797</t>
  </si>
  <si>
    <t>T9212067798</t>
  </si>
  <si>
    <t>180935/E5MU</t>
  </si>
  <si>
    <t>180547/</t>
  </si>
  <si>
    <t>180548/</t>
  </si>
  <si>
    <t>PO684IS/PO081YO </t>
  </si>
  <si>
    <t>9215166497/9215166498</t>
  </si>
  <si>
    <t>T9212067789</t>
  </si>
  <si>
    <t>KP5065</t>
  </si>
  <si>
    <t>T9212067787</t>
  </si>
  <si>
    <t>KP5066</t>
  </si>
  <si>
    <t>KP5067</t>
  </si>
  <si>
    <t>KP5068</t>
  </si>
  <si>
    <t>T9212067828</t>
  </si>
  <si>
    <t>T9212067829</t>
  </si>
  <si>
    <t>T9212067830</t>
  </si>
  <si>
    <t>SROT359/680256</t>
  </si>
  <si>
    <t xml:space="preserve">SO116BC/SO276YC </t>
  </si>
  <si>
    <t>T9212067786</t>
  </si>
  <si>
    <t>22TENNECO-SVK</t>
  </si>
  <si>
    <t>NP</t>
  </si>
  <si>
    <t>TREDEGAR</t>
  </si>
  <si>
    <t>99</t>
  </si>
  <si>
    <t>NITRA</t>
  </si>
  <si>
    <t>WPR8119P/WGM0269R</t>
  </si>
  <si>
    <t>45TRAWOEGER-SK</t>
  </si>
  <si>
    <t>T9212067665</t>
  </si>
  <si>
    <t>SL748CE/SL667YE</t>
  </si>
  <si>
    <t>06SIVON-SK</t>
  </si>
  <si>
    <t>T9212067799</t>
  </si>
  <si>
    <t>T9212067823</t>
  </si>
  <si>
    <t>DSCBRG8/DS230YS</t>
  </si>
  <si>
    <t>T9212067812</t>
  </si>
  <si>
    <t>180549/37Z9</t>
  </si>
  <si>
    <t>9215166524/9215166525</t>
  </si>
  <si>
    <t>T9212067815/T9212067816</t>
  </si>
  <si>
    <t>181002/W7PT</t>
  </si>
  <si>
    <t>T9212067814</t>
  </si>
  <si>
    <t>181003/FMXF</t>
  </si>
  <si>
    <t>9215166538/9215166539</t>
  </si>
  <si>
    <t>T9212067826</t>
  </si>
  <si>
    <t>KP5077</t>
  </si>
  <si>
    <t>AA999BB/SV999YC</t>
  </si>
  <si>
    <t>06TOPTIME-SK</t>
  </si>
  <si>
    <t>T9212067824</t>
  </si>
  <si>
    <t>KP5078</t>
  </si>
  <si>
    <t>KP5079</t>
  </si>
  <si>
    <t>KP5080</t>
  </si>
  <si>
    <t>PO263II/PO207YO</t>
  </si>
  <si>
    <t>T9212067827</t>
  </si>
  <si>
    <t>KP5085</t>
  </si>
  <si>
    <t>T9212067825</t>
  </si>
  <si>
    <t>PO684IS/PO081YN</t>
  </si>
  <si>
    <t>T9212067844</t>
  </si>
  <si>
    <t>nevylozenych 40 praciek</t>
  </si>
  <si>
    <t>SB42JOE+SB74RZW</t>
  </si>
  <si>
    <t>41PROLOG-SK</t>
  </si>
  <si>
    <t> 9215166386</t>
  </si>
  <si>
    <t> T9212067694</t>
  </si>
  <si>
    <t>SL750BV/SL396YE</t>
  </si>
  <si>
    <t>9215166553/9215166556</t>
  </si>
  <si>
    <t>T9212067837/T9212067838</t>
  </si>
  <si>
    <t> PO078HF/KE807YR</t>
  </si>
  <si>
    <t>T9212067832</t>
  </si>
  <si>
    <t>181005/SM6I</t>
  </si>
  <si>
    <t>PO219IP/PO972YN </t>
  </si>
  <si>
    <t>9215166551/9215166552</t>
  </si>
  <si>
    <t>T9212067835/T9212067836</t>
  </si>
  <si>
    <t>181004/ AP3P</t>
  </si>
  <si>
    <t>PO030IL/PO671YN</t>
  </si>
  <si>
    <t>T9212067833</t>
  </si>
  <si>
    <t>181006/ TPIM</t>
  </si>
  <si>
    <t>T9212067817</t>
  </si>
  <si>
    <t>KP5081</t>
  </si>
  <si>
    <t>T9212067839</t>
  </si>
  <si>
    <t>KP5082</t>
  </si>
  <si>
    <t>KP5083</t>
  </si>
  <si>
    <t>KP5084</t>
  </si>
  <si>
    <t>T9212067834</t>
  </si>
  <si>
    <t>181007/SL5H</t>
  </si>
  <si>
    <t>T9212067845</t>
  </si>
  <si>
    <t>T9212067852</t>
  </si>
  <si>
    <t>KP5087</t>
  </si>
  <si>
    <t>T9212067858</t>
  </si>
  <si>
    <t>SROT360/680747</t>
  </si>
  <si>
    <t xml:space="preserve">SO794AV/SO953YB </t>
  </si>
  <si>
    <t>T9212067851</t>
  </si>
  <si>
    <t>T9212067849</t>
  </si>
  <si>
    <t>PO763ET/KE728YR</t>
  </si>
  <si>
    <t>T9212067850</t>
  </si>
  <si>
    <t>PO219IP/PO972YN</t>
  </si>
  <si>
    <t>T9212067841</t>
  </si>
  <si>
    <t>181565/U66X</t>
  </si>
  <si>
    <t xml:space="preserve">PO744FZ/PO608YK </t>
  </si>
  <si>
    <t>T9212067848</t>
  </si>
  <si>
    <t>9B95260/7Z16508</t>
  </si>
  <si>
    <t>9215166395/9215166410</t>
  </si>
  <si>
    <t>T9212067703/T9212067716</t>
  </si>
  <si>
    <t>T9212067790</t>
  </si>
  <si>
    <t>ZH 064 CG / ZH 497 YE</t>
  </si>
  <si>
    <t>96GENARALTRUCKING</t>
  </si>
  <si>
    <t> 9215166451</t>
  </si>
  <si>
    <t> T9212067750</t>
  </si>
  <si>
    <t>SL 960 CB/SL 067 YF</t>
  </si>
  <si>
    <t>9215166474 </t>
  </si>
  <si>
    <t> T9212067768</t>
  </si>
  <si>
    <t>LAUWIN PLANQUE</t>
  </si>
  <si>
    <t>NR013LT/WGK283</t>
  </si>
  <si>
    <t>94MKTRANSPORT-MF</t>
  </si>
  <si>
    <t> 9215166442</t>
  </si>
  <si>
    <t> T9212067740</t>
  </si>
  <si>
    <t>storno</t>
  </si>
  <si>
    <t> 9215166305</t>
  </si>
  <si>
    <t> T9212067619</t>
  </si>
  <si>
    <t>MER</t>
  </si>
  <si>
    <t>7E0 48086E5 9072</t>
  </si>
  <si>
    <t>13CEELOGISTICS</t>
  </si>
  <si>
    <t> 9215166455</t>
  </si>
  <si>
    <t> T9212067753</t>
  </si>
  <si>
    <t>SAINT-QUENTIN-FALLAVIER</t>
  </si>
  <si>
    <t>SL563CH/SL184YF</t>
  </si>
  <si>
    <t>06BONREG-SK</t>
  </si>
  <si>
    <t>T9212067692</t>
  </si>
  <si>
    <t xml:space="preserve">SO113BB / SO226YC </t>
  </si>
  <si>
    <t> T9212067616</t>
  </si>
  <si>
    <t>SAINT-GEORGES D'ESPERANCHE</t>
  </si>
  <si>
    <t>PP619FI PP216YI</t>
  </si>
  <si>
    <t>05BOOMSNACKS</t>
  </si>
  <si>
    <t> 9215166465</t>
  </si>
  <si>
    <t>T9212067760 </t>
  </si>
  <si>
    <t>VILLENEUVE LES BOULLOC</t>
  </si>
  <si>
    <t>174ks</t>
  </si>
  <si>
    <t>BRIVE LA GAILLARDE</t>
  </si>
  <si>
    <t>190ks</t>
  </si>
  <si>
    <t>9C4 2091/7C9 6550</t>
  </si>
  <si>
    <t>39APALOGISTIK-SVK</t>
  </si>
  <si>
    <t> T9212067800</t>
  </si>
  <si>
    <t>FOS SUR MER</t>
  </si>
  <si>
    <t>B27BNC + B200BNC</t>
  </si>
  <si>
    <t> 9215166520</t>
  </si>
  <si>
    <t> T9212067811</t>
  </si>
  <si>
    <t>LM687CP / LM714YF</t>
  </si>
  <si>
    <t>T9212067804</t>
  </si>
  <si>
    <t>HU</t>
  </si>
  <si>
    <t>28</t>
  </si>
  <si>
    <t>KISBER</t>
  </si>
  <si>
    <t>KE210NL/KE859YJ</t>
  </si>
  <si>
    <t>04DMHTRANS-SK</t>
  </si>
  <si>
    <t>9215166445; 9215166446</t>
  </si>
  <si>
    <t>T9212067741</t>
  </si>
  <si>
    <t>090200</t>
  </si>
  <si>
    <t>ZAVAR</t>
  </si>
  <si>
    <t>C SK</t>
  </si>
  <si>
    <t>BT807FE/BL607YP</t>
  </si>
  <si>
    <t>82ELASTOPTR-SK-MF</t>
  </si>
  <si>
    <t>T2002599962</t>
  </si>
  <si>
    <t>CEVA SK</t>
  </si>
  <si>
    <t>TV273DL/TV256YH</t>
  </si>
  <si>
    <t>07DOMITRANSPORT</t>
  </si>
  <si>
    <t>T9212067842</t>
  </si>
  <si>
    <t>181614/M796</t>
  </si>
  <si>
    <t>T9212067843</t>
  </si>
  <si>
    <t>181566/VN1Y</t>
  </si>
  <si>
    <t>T9212067854</t>
  </si>
  <si>
    <t>T9212067855</t>
  </si>
  <si>
    <t>T9212067856</t>
  </si>
  <si>
    <t>KP5086</t>
  </si>
  <si>
    <t>KP5088</t>
  </si>
  <si>
    <t>KP5089</t>
  </si>
  <si>
    <t>T9212067859</t>
  </si>
  <si>
    <t>KP5091</t>
  </si>
  <si>
    <t>SV453BK/SV521YC</t>
  </si>
  <si>
    <t>T9212067860</t>
  </si>
  <si>
    <t>KP5092</t>
  </si>
  <si>
    <t>KP5093</t>
  </si>
  <si>
    <t>KP5094</t>
  </si>
  <si>
    <t>AB1889326</t>
  </si>
  <si>
    <t>T9212068324</t>
  </si>
  <si>
    <t>AB1889361</t>
  </si>
  <si>
    <t>T9212067877</t>
  </si>
  <si>
    <t>AB1889412</t>
  </si>
  <si>
    <t>T9212067878</t>
  </si>
  <si>
    <t>SROT361/680749</t>
  </si>
  <si>
    <t>SL374CB/SL769YD</t>
  </si>
  <si>
    <t>06STRACHAN</t>
  </si>
  <si>
    <t>T9212067875</t>
  </si>
  <si>
    <t>BT214CZ/IL436 YF</t>
  </si>
  <si>
    <t>T9212067702</t>
  </si>
  <si>
    <t>POBJ 1637950260</t>
  </si>
  <si>
    <t>NR091IA/NR885YP</t>
  </si>
  <si>
    <t>T9212067819</t>
  </si>
  <si>
    <t>06</t>
  </si>
  <si>
    <t>CARROS</t>
  </si>
  <si>
    <t xml:space="preserve">PP996EX/PP845YH </t>
  </si>
  <si>
    <t> 9215166476</t>
  </si>
  <si>
    <t> T9212067772</t>
  </si>
  <si>
    <t>SENEC</t>
  </si>
  <si>
    <t>120ks</t>
  </si>
  <si>
    <t>ST MARD</t>
  </si>
  <si>
    <t> 9215166477</t>
  </si>
  <si>
    <t> T9212067773</t>
  </si>
  <si>
    <t>TT405GS / TT658YM</t>
  </si>
  <si>
    <t>91BOBO-SK-MF</t>
  </si>
  <si>
    <t> 9215166596</t>
  </si>
  <si>
    <t> T9212067864</t>
  </si>
  <si>
    <t>6E8 6876/5E9 5685</t>
  </si>
  <si>
    <t> 9215166478</t>
  </si>
  <si>
    <t> T9212067774</t>
  </si>
  <si>
    <t>SATOLAS ET BONCE</t>
  </si>
  <si>
    <t>BH44BNC + BH10BNC</t>
  </si>
  <si>
    <t> 9215166522</t>
  </si>
  <si>
    <t>T9212067813</t>
  </si>
  <si>
    <t>7E0 5924/6E3 6636</t>
  </si>
  <si>
    <t>T9212067818</t>
  </si>
  <si>
    <t>ST LAURENT DE MURE</t>
  </si>
  <si>
    <t>SL091CI/SL201YE</t>
  </si>
  <si>
    <t>T9212067820</t>
  </si>
  <si>
    <t>ZM999CN / ZM828YD</t>
  </si>
  <si>
    <t>T9212067888</t>
  </si>
  <si>
    <t xml:space="preserve">PP555DP/PP650YG </t>
  </si>
  <si>
    <t>9215166592; 9215166593</t>
  </si>
  <si>
    <t>T9212067862</t>
  </si>
  <si>
    <t xml:space="preserve">PO014HK/KE757YR </t>
  </si>
  <si>
    <t>T9212067889</t>
  </si>
  <si>
    <t>Košice</t>
  </si>
  <si>
    <t>KE824KL/KE243YP</t>
  </si>
  <si>
    <t>04IMDSRO-SK</t>
  </si>
  <si>
    <t>T9212067885</t>
  </si>
  <si>
    <t>T9212067884</t>
  </si>
  <si>
    <t>181572/9IZP</t>
  </si>
  <si>
    <t>T9212067891</t>
  </si>
  <si>
    <t>181574/K9EY</t>
  </si>
  <si>
    <t>T9212067892</t>
  </si>
  <si>
    <t>181616/8UMF</t>
  </si>
  <si>
    <t>T9212067893</t>
  </si>
  <si>
    <t>T9212067894</t>
  </si>
  <si>
    <t>T9212067896</t>
  </si>
  <si>
    <t>T9212067886</t>
  </si>
  <si>
    <t>T9212067887</t>
  </si>
  <si>
    <t>9215166633/9215166634</t>
  </si>
  <si>
    <t>T9212067903</t>
  </si>
  <si>
    <t>HE715CF/HE216YE</t>
  </si>
  <si>
    <t>06PETERVITEK</t>
  </si>
  <si>
    <t>T9212067897</t>
  </si>
  <si>
    <t>T9212067898</t>
  </si>
  <si>
    <t>SL332BL/SL822YD</t>
  </si>
  <si>
    <t>T9212067900</t>
  </si>
  <si>
    <t>KP5090</t>
  </si>
  <si>
    <t>KP5095</t>
  </si>
  <si>
    <t>T9212067904</t>
  </si>
  <si>
    <t>KP5096</t>
  </si>
  <si>
    <t>KP5097</t>
  </si>
  <si>
    <t>KP5098</t>
  </si>
  <si>
    <t>KP5099</t>
  </si>
  <si>
    <t>T9212067869</t>
  </si>
  <si>
    <t>KP5100</t>
  </si>
  <si>
    <t>T9212067905</t>
  </si>
  <si>
    <t>KP5101</t>
  </si>
  <si>
    <t>T9212067906</t>
  </si>
  <si>
    <t>KP5102</t>
  </si>
  <si>
    <t>T9212067907</t>
  </si>
  <si>
    <t>KP5104</t>
  </si>
  <si>
    <t>T9212067926</t>
  </si>
  <si>
    <t>KP5105</t>
  </si>
  <si>
    <t>T9212067928</t>
  </si>
  <si>
    <t>POBJ 1774620574</t>
  </si>
  <si>
    <t>VAN</t>
  </si>
  <si>
    <t>NR384LP</t>
  </si>
  <si>
    <t>T9212067923</t>
  </si>
  <si>
    <t>BG</t>
  </si>
  <si>
    <t>21</t>
  </si>
  <si>
    <t>BOTEVGRAD</t>
  </si>
  <si>
    <t>LE951BJ</t>
  </si>
  <si>
    <t>05MAJERSKY-SK</t>
  </si>
  <si>
    <t>9215166655, 9215166656, 9215166657, 9215166658</t>
  </si>
  <si>
    <t>T9212067924</t>
  </si>
  <si>
    <t>LES HERBIERS</t>
  </si>
  <si>
    <t xml:space="preserve">SO199BE / SO403YC </t>
  </si>
  <si>
    <t> T9212067621</t>
  </si>
  <si>
    <t>ST GIBRIEN</t>
  </si>
  <si>
    <t>BC 0294 OO - BC 0294 XI</t>
  </si>
  <si>
    <t>07SLOVTRANSAVTO</t>
  </si>
  <si>
    <t> 9215166479</t>
  </si>
  <si>
    <t> T9212067775</t>
  </si>
  <si>
    <t>PP377FF/PP059YI</t>
  </si>
  <si>
    <t> 9215166480</t>
  </si>
  <si>
    <t>T9212067808</t>
  </si>
  <si>
    <t>9215166667;9215166670</t>
  </si>
  <si>
    <t>T9212067933</t>
  </si>
  <si>
    <t>T9212067910</t>
  </si>
  <si>
    <t>181615/2PY5</t>
  </si>
  <si>
    <t xml:space="preserve">PO219IP/PO972YN </t>
  </si>
  <si>
    <t>T9212067911</t>
  </si>
  <si>
    <t>181568/CDZR</t>
  </si>
  <si>
    <t>T9212067912</t>
  </si>
  <si>
    <t>181575/5AYF</t>
  </si>
  <si>
    <t>9215166649/9215166650</t>
  </si>
  <si>
    <t>T9212067917/T9212067918</t>
  </si>
  <si>
    <t>181625/8SBZ</t>
  </si>
  <si>
    <t>BJ680CB/BJ370YE</t>
  </si>
  <si>
    <t>T9212067913</t>
  </si>
  <si>
    <t>181621/WRGT</t>
  </si>
  <si>
    <t>T9212067914</t>
  </si>
  <si>
    <t>181622/39BH</t>
  </si>
  <si>
    <t>T9212067930</t>
  </si>
  <si>
    <t>181623/8RKL</t>
  </si>
  <si>
    <t>BH03LLL /BH08LLL</t>
  </si>
  <si>
    <t>T9212067931</t>
  </si>
  <si>
    <t>181624/MDZU</t>
  </si>
  <si>
    <t>T9212067929</t>
  </si>
  <si>
    <t>T9212067932</t>
  </si>
  <si>
    <t>T9212067934</t>
  </si>
  <si>
    <t>T9212067915</t>
  </si>
  <si>
    <t>T9212067919</t>
  </si>
  <si>
    <t>KP5103</t>
  </si>
  <si>
    <t>SL367BO/SL947YD</t>
  </si>
  <si>
    <t>T9212067935</t>
  </si>
  <si>
    <t>KP5106</t>
  </si>
  <si>
    <t>T9212067936</t>
  </si>
  <si>
    <t>KP5107</t>
  </si>
  <si>
    <t>KP5108</t>
  </si>
  <si>
    <t>KP5109</t>
  </si>
  <si>
    <t>KP5114</t>
  </si>
  <si>
    <t>T9212067937</t>
  </si>
  <si>
    <t>KP5115</t>
  </si>
  <si>
    <t>T9212067938</t>
  </si>
  <si>
    <t>KP5116</t>
  </si>
  <si>
    <t>stand by</t>
  </si>
  <si>
    <t>Standard</t>
  </si>
  <si>
    <t>KS847AP/KS335YI</t>
  </si>
  <si>
    <t>04VARGASRO</t>
  </si>
  <si>
    <t>T9212068286</t>
  </si>
  <si>
    <t>KS847AP/KS928YE</t>
  </si>
  <si>
    <t>T9212068287</t>
  </si>
  <si>
    <t>PO906FG/KE659YR</t>
  </si>
  <si>
    <t>T9212068281</t>
  </si>
  <si>
    <t>PO048GS/PO565YJ</t>
  </si>
  <si>
    <t>T9212068282</t>
  </si>
  <si>
    <t>PO489IR/KE688YR</t>
  </si>
  <si>
    <t>T9212068284</t>
  </si>
  <si>
    <t>D01HONEYWELL-SK/11HONEYWELL-SK</t>
  </si>
  <si>
    <t>B71</t>
  </si>
  <si>
    <t>Bromwich</t>
  </si>
  <si>
    <t>POBJ 472263144</t>
  </si>
  <si>
    <t>NR053KU/NR718YS</t>
  </si>
  <si>
    <t>T9212067922</t>
  </si>
  <si>
    <t>7E2 7342/5E9 5684</t>
  </si>
  <si>
    <t> 9215166486</t>
  </si>
  <si>
    <t>T9212067779</t>
  </si>
  <si>
    <t xml:space="preserve">SO525BH / SO021YC </t>
  </si>
  <si>
    <t> 9215166304</t>
  </si>
  <si>
    <t>T9212067617</t>
  </si>
  <si>
    <t>9215166594; 9215166595</t>
  </si>
  <si>
    <t>T9212067863</t>
  </si>
  <si>
    <t>DSWMK72/DSW642AC</t>
  </si>
  <si>
    <t>9215166881/9215167024</t>
  </si>
  <si>
    <t>T9212068104/T9212068255</t>
  </si>
  <si>
    <t xml:space="preserve">priplatok 13% - 60,50 - obaly nalozil 16/08 - DSWLW66/RDE3206P </t>
  </si>
  <si>
    <t>T9212067940</t>
  </si>
  <si>
    <t>181626/951P</t>
  </si>
  <si>
    <t>T9212067956</t>
  </si>
  <si>
    <t>182473/4NIG</t>
  </si>
  <si>
    <t>T9212067957</t>
  </si>
  <si>
    <t>182474/G12A</t>
  </si>
  <si>
    <t>T9212067959</t>
  </si>
  <si>
    <t>181827/NTRD</t>
  </si>
  <si>
    <t>T9212067960</t>
  </si>
  <si>
    <t>T9212067961</t>
  </si>
  <si>
    <t>T9212067963</t>
  </si>
  <si>
    <t>MEGA/ends</t>
  </si>
  <si>
    <t>NBU154/WDF997</t>
  </si>
  <si>
    <t>9215166724/9215166725</t>
  </si>
  <si>
    <t>T9212067969</t>
  </si>
  <si>
    <t xml:space="preserve">SCT142/WAH693 </t>
  </si>
  <si>
    <t>44TELKITRANS-SK</t>
  </si>
  <si>
    <t>T9212067970</t>
  </si>
  <si>
    <t>Blonie</t>
  </si>
  <si>
    <t xml:space="preserve">SR8691R/SR97134 </t>
  </si>
  <si>
    <t>44WOALTRANS-SK</t>
  </si>
  <si>
    <t>T9212067964</t>
  </si>
  <si>
    <t>KP5110</t>
  </si>
  <si>
    <t>T9212067965</t>
  </si>
  <si>
    <t>KP5111</t>
  </si>
  <si>
    <t>KP5112</t>
  </si>
  <si>
    <t>KP5113</t>
  </si>
  <si>
    <t>nalozila sa 19/8</t>
  </si>
  <si>
    <t>KP5117</t>
  </si>
  <si>
    <t>T9212067967</t>
  </si>
  <si>
    <t>KP5118</t>
  </si>
  <si>
    <t>KP5119</t>
  </si>
  <si>
    <t>KP5120</t>
  </si>
  <si>
    <t>T9212067995</t>
  </si>
  <si>
    <t>KP5121</t>
  </si>
  <si>
    <t>KP5122</t>
  </si>
  <si>
    <t>SROT362/680748</t>
  </si>
  <si>
    <t xml:space="preserve">SO517BH/SO133YC </t>
  </si>
  <si>
    <t>T9212067925</t>
  </si>
  <si>
    <t>LIMOGES</t>
  </si>
  <si>
    <t>166ks</t>
  </si>
  <si>
    <t>PP103EX/PP799YH</t>
  </si>
  <si>
    <t> T9212067780</t>
  </si>
  <si>
    <t>TOURNAN EN BRIE</t>
  </si>
  <si>
    <t>SL928CI/SL409YF</t>
  </si>
  <si>
    <t> 9215166447</t>
  </si>
  <si>
    <t>T9212067747 </t>
  </si>
  <si>
    <t>ANGRES</t>
  </si>
  <si>
    <t>190KS</t>
  </si>
  <si>
    <t>PP747FG/PP131YI</t>
  </si>
  <si>
    <t> 9215166508</t>
  </si>
  <si>
    <t> T9212067796</t>
  </si>
  <si>
    <t>cakanie na nakladku</t>
  </si>
  <si>
    <t>6E9 71086E3 6582</t>
  </si>
  <si>
    <t>T9212067941</t>
  </si>
  <si>
    <t xml:space="preserve">PP778EA/PP785YG </t>
  </si>
  <si>
    <t>T9212067942</t>
  </si>
  <si>
    <t xml:space="preserve">PP962DV/PP570YG </t>
  </si>
  <si>
    <t>T9212067962</t>
  </si>
  <si>
    <t>180ks, nemeskal, presunute</t>
  </si>
  <si>
    <t>SN892EB/SN840YE</t>
  </si>
  <si>
    <t> 9215166605</t>
  </si>
  <si>
    <t> T9212067879</t>
  </si>
  <si>
    <t>57</t>
  </si>
  <si>
    <t>Tremery</t>
  </si>
  <si>
    <t>Zavar</t>
  </si>
  <si>
    <t>T9212068054</t>
  </si>
  <si>
    <t>49</t>
  </si>
  <si>
    <t>St. Barthelemy d`Anjou</t>
  </si>
  <si>
    <t>Trnava</t>
  </si>
  <si>
    <t>BT105AZ/G178PA1</t>
  </si>
  <si>
    <t>T9212068053</t>
  </si>
  <si>
    <t>DSWLW65/RDE3207P</t>
  </si>
  <si>
    <t>9215166882/9215167027</t>
  </si>
  <si>
    <t>T9212068109/T9212068258</t>
  </si>
  <si>
    <t>priplatok 13% - 60,50 - obaly nalozil 17/08 - DSWMK72/DSW642AC</t>
  </si>
  <si>
    <t>DSWLW66/RDE3206P</t>
  </si>
  <si>
    <t>9215166886/9215167028</t>
  </si>
  <si>
    <t>T9212068110/T9212068259</t>
  </si>
  <si>
    <t>priplatok 13% - 60,50 - obaly nalozil 18/08 - RDE64798/RDE3850P</t>
  </si>
  <si>
    <t>9215166887/9215167029</t>
  </si>
  <si>
    <t>T9212068112/T9212068260</t>
  </si>
  <si>
    <t>vikendovy priplatok 93,08€ - obaly nalozil 18/08 - RDE63734/RDE3976P</t>
  </si>
  <si>
    <t>9215166888/9215167030</t>
  </si>
  <si>
    <t>T9212068113/T9212068261</t>
  </si>
  <si>
    <t>vikendovy priplatok 93,08€ - obaly nalozil 18/08 - RDE72847/RDE5136P</t>
  </si>
  <si>
    <t>RDE36008/RDE77RR</t>
  </si>
  <si>
    <t>9215166889/9215167031</t>
  </si>
  <si>
    <t>T9212068114/T9212068262</t>
  </si>
  <si>
    <t>vikendovy priplatok 93,08€ - obaly nalozil 19/08 - DSWMK72/DSW642AC</t>
  </si>
  <si>
    <t>T9212068116</t>
  </si>
  <si>
    <t>T9212068128</t>
  </si>
  <si>
    <t>RZ2686U/RZ6605P</t>
  </si>
  <si>
    <t>T9212068129</t>
  </si>
  <si>
    <t>PO030IL/PO672YN</t>
  </si>
  <si>
    <t>9215166757/9215166760</t>
  </si>
  <si>
    <t>T9212068004</t>
  </si>
  <si>
    <t>182475/31DQ</t>
  </si>
  <si>
    <t>T9212067979</t>
  </si>
  <si>
    <t>T9212067980</t>
  </si>
  <si>
    <t xml:space="preserve">RZW319/WCX867 </t>
  </si>
  <si>
    <t>T9212067971</t>
  </si>
  <si>
    <t>9215166685/9215166686</t>
  </si>
  <si>
    <t>T9212067939</t>
  </si>
  <si>
    <t>PO728GT/PO173YK </t>
  </si>
  <si>
    <t>9215166735/9215166765</t>
  </si>
  <si>
    <t>T9212067982</t>
  </si>
  <si>
    <t>T9212067983</t>
  </si>
  <si>
    <t>CA803CD/CA154YE</t>
  </si>
  <si>
    <t>02OSTRANSPORT</t>
  </si>
  <si>
    <t>T9212067977</t>
  </si>
  <si>
    <t>T9212067984</t>
  </si>
  <si>
    <t>SCT142/WAH693</t>
  </si>
  <si>
    <t>T9212067991</t>
  </si>
  <si>
    <t>KP5123</t>
  </si>
  <si>
    <t>T9212067996</t>
  </si>
  <si>
    <t>KP5124</t>
  </si>
  <si>
    <t>KP5125</t>
  </si>
  <si>
    <t>T9212067997</t>
  </si>
  <si>
    <t>119869/120067</t>
  </si>
  <si>
    <t xml:space="preserve">PO564FJ/PO647YJ </t>
  </si>
  <si>
    <t>9215166817/9215166818</t>
  </si>
  <si>
    <t>T9212068058</t>
  </si>
  <si>
    <t>Kechnec+ Prešov</t>
  </si>
  <si>
    <t>120019/120020</t>
  </si>
  <si>
    <t>9215166804/9215166805</t>
  </si>
  <si>
    <t>T9212068042</t>
  </si>
  <si>
    <t>SL368CJ/SL679YE</t>
  </si>
  <si>
    <t>T9212067989</t>
  </si>
  <si>
    <t>PO913ES/PO646YI</t>
  </si>
  <si>
    <t>T9212068002</t>
  </si>
  <si>
    <t>T9212068003</t>
  </si>
  <si>
    <t>T9212068005</t>
  </si>
  <si>
    <t>PO684IS/PO081YO</t>
  </si>
  <si>
    <t>9215166752/4356636925</t>
  </si>
  <si>
    <t>T9212067998/T9212068026/T9212068027</t>
  </si>
  <si>
    <t>nakladka Zavar - Velka Ida + Kechnec ( 2360284, 2361729 )</t>
  </si>
  <si>
    <t>T9212067976</t>
  </si>
  <si>
    <t>T9212068024</t>
  </si>
  <si>
    <t>T9212068016</t>
  </si>
  <si>
    <t>182724/3PD2</t>
  </si>
  <si>
    <t>SMI21024/SM7471C</t>
  </si>
  <si>
    <t>T9212068052</t>
  </si>
  <si>
    <t>T9212068051</t>
  </si>
  <si>
    <t>B-299-PKR/BH-80-PKR</t>
  </si>
  <si>
    <t>41PANKARPATHIA-SV</t>
  </si>
  <si>
    <t> 9215166566</t>
  </si>
  <si>
    <t> T9212067847</t>
  </si>
  <si>
    <t xml:space="preserve">ZV711EH/ZV127YI </t>
  </si>
  <si>
    <t>03STDDONIVOAS</t>
  </si>
  <si>
    <t>T9212068012</t>
  </si>
  <si>
    <t>9215166777; 9215166778</t>
  </si>
  <si>
    <t>T9212068022</t>
  </si>
  <si>
    <t>59</t>
  </si>
  <si>
    <t>TRITH ST LEGER</t>
  </si>
  <si>
    <t>T5242518954</t>
  </si>
  <si>
    <t>RDE72847/RDE5136P</t>
  </si>
  <si>
    <t>9215166890/9215167032</t>
  </si>
  <si>
    <t>T9212068115/T9212068263</t>
  </si>
  <si>
    <t>obaly nalozil 17/08 - RDE36008/RDE77RR</t>
  </si>
  <si>
    <t>RDE63734/RDE3976P</t>
  </si>
  <si>
    <t>T9212068117</t>
  </si>
  <si>
    <t>T9212068118</t>
  </si>
  <si>
    <t>T9212068119</t>
  </si>
  <si>
    <t>DSWNJ43/RDE4388P</t>
  </si>
  <si>
    <t>T9212068120</t>
  </si>
  <si>
    <t>RDE43988/RDE2096P</t>
  </si>
  <si>
    <t>T9212068122</t>
  </si>
  <si>
    <t>T9212068130</t>
  </si>
  <si>
    <t>RDE74130/RDE5110P</t>
  </si>
  <si>
    <t>T9212068123</t>
  </si>
  <si>
    <t>RDE59144/RDE3400P</t>
  </si>
  <si>
    <t>T9212068124</t>
  </si>
  <si>
    <t>SP337AY/SP023YC</t>
  </si>
  <si>
    <t>T9212068011</t>
  </si>
  <si>
    <t>T9212067999</t>
  </si>
  <si>
    <t>T9212068007</t>
  </si>
  <si>
    <t>SHM499/WEl889</t>
  </si>
  <si>
    <t>T9212068033</t>
  </si>
  <si>
    <t>9215166802/9215166803</t>
  </si>
  <si>
    <t>T9212068041</t>
  </si>
  <si>
    <t>T9212068000</t>
  </si>
  <si>
    <t>T9212068008</t>
  </si>
  <si>
    <t>NFV745/XZL571</t>
  </si>
  <si>
    <t>T9212068013</t>
  </si>
  <si>
    <t>T9212068038</t>
  </si>
  <si>
    <t>T9212068039</t>
  </si>
  <si>
    <t>T9212068040</t>
  </si>
  <si>
    <t> PO837FR/PO153YK</t>
  </si>
  <si>
    <t>T9212068015</t>
  </si>
  <si>
    <t>T9212068028</t>
  </si>
  <si>
    <t xml:space="preserve">PO014HK/KE807YR </t>
  </si>
  <si>
    <t>T9212068025</t>
  </si>
  <si>
    <t>T9212067987</t>
  </si>
  <si>
    <t>PO030IL/PO671YN </t>
  </si>
  <si>
    <t>T9212068037</t>
  </si>
  <si>
    <t>9215166772/4353062629</t>
  </si>
  <si>
    <t>T9212068017/T9212068019</t>
  </si>
  <si>
    <t>182725/5KMA + obaly zo Zavaru - Ushin Ke ( OLV2361820 )</t>
  </si>
  <si>
    <t>T9212068018</t>
  </si>
  <si>
    <t>182822/REP9</t>
  </si>
  <si>
    <t> 182827/PQXQ</t>
  </si>
  <si>
    <t>PP0153490</t>
  </si>
  <si>
    <t>T9212068064</t>
  </si>
  <si>
    <t>AB1889388</t>
  </si>
  <si>
    <t>T9212068065</t>
  </si>
  <si>
    <t>AB1889424</t>
  </si>
  <si>
    <t>T9212068066</t>
  </si>
  <si>
    <t>AB1881912</t>
  </si>
  <si>
    <t>T9212068067</t>
  </si>
  <si>
    <t>POBJ 1637950261</t>
  </si>
  <si>
    <t>NR811KF/NR978YR</t>
  </si>
  <si>
    <t>T9212068090</t>
  </si>
  <si>
    <t>LE MANS</t>
  </si>
  <si>
    <t>neskora vykladka</t>
  </si>
  <si>
    <t>BC 0341 EX_ BC 0341 XO</t>
  </si>
  <si>
    <t> 9215166617</t>
  </si>
  <si>
    <t> T9212067890</t>
  </si>
  <si>
    <t>05SMTRADING</t>
  </si>
  <si>
    <t> 9215166534</t>
  </si>
  <si>
    <t> T9212067821</t>
  </si>
  <si>
    <t>BL637UL  BL279YC</t>
  </si>
  <si>
    <t>LV134HB/LV224YX</t>
  </si>
  <si>
    <t>93MATYTRANS-SK</t>
  </si>
  <si>
    <t>T9212068014</t>
  </si>
  <si>
    <t>matytrans.sro@gmail.com</t>
  </si>
  <si>
    <t>HAGONDANGE</t>
  </si>
  <si>
    <t>1564318-VR03835279</t>
  </si>
  <si>
    <t>T9212068107</t>
  </si>
  <si>
    <t>T9212068131</t>
  </si>
  <si>
    <t>RZ687ES/RZ290EP</t>
  </si>
  <si>
    <t>T9212068133</t>
  </si>
  <si>
    <t>T9212068132</t>
  </si>
  <si>
    <t>T9212068125</t>
  </si>
  <si>
    <t>T9212068126</t>
  </si>
  <si>
    <t>xxx</t>
  </si>
  <si>
    <t>storno crown</t>
  </si>
  <si>
    <t>T9212067990</t>
  </si>
  <si>
    <t>T9212068071</t>
  </si>
  <si>
    <t>T9212068034</t>
  </si>
  <si>
    <t>9215166838/9215166839</t>
  </si>
  <si>
    <t>T9212068072</t>
  </si>
  <si>
    <t>T9212067985</t>
  </si>
  <si>
    <t>T9212068059</t>
  </si>
  <si>
    <t>T9212068001</t>
  </si>
  <si>
    <t>T9212068009</t>
  </si>
  <si>
    <t>RDE27188/RDE5496P</t>
  </si>
  <si>
    <t>T9212068060</t>
  </si>
  <si>
    <t>T9212068061</t>
  </si>
  <si>
    <t>T9212068062</t>
  </si>
  <si>
    <t>T9212068063</t>
  </si>
  <si>
    <t>T9212068029</t>
  </si>
  <si>
    <t xml:space="preserve">PO202HB /PO677YK </t>
  </si>
  <si>
    <t>T9212068023</t>
  </si>
  <si>
    <t>182823/E9TY</t>
  </si>
  <si>
    <t>182832/RK1Q</t>
  </si>
  <si>
    <t>182727/2RCD</t>
  </si>
  <si>
    <t>182730/XZLD</t>
  </si>
  <si>
    <t>T9212068073</t>
  </si>
  <si>
    <t>182731/3BXY</t>
  </si>
  <si>
    <t>KP5126</t>
  </si>
  <si>
    <t>T9212068075</t>
  </si>
  <si>
    <t>KP5127</t>
  </si>
  <si>
    <t>T9212068076</t>
  </si>
  <si>
    <t>NR779LS/NR309YP</t>
  </si>
  <si>
    <t>T9212067791</t>
  </si>
  <si>
    <t>9215166854; 9215166855; 9215166856; 9215166857</t>
  </si>
  <si>
    <t>T9212068086</t>
  </si>
  <si>
    <t>SN179DA/SN988YE</t>
  </si>
  <si>
    <t> 9215166535</t>
  </si>
  <si>
    <t>T9212067822</t>
  </si>
  <si>
    <t>VILLABE</t>
  </si>
  <si>
    <t> MM19FNI/MM53FNI</t>
  </si>
  <si>
    <t>T9212067943</t>
  </si>
  <si>
    <t>SN198DF/SN466YG</t>
  </si>
  <si>
    <t>T9212067880</t>
  </si>
  <si>
    <t>SL971CC, SL9971YE</t>
  </si>
  <si>
    <t> 9215166607</t>
  </si>
  <si>
    <t>T9212067881</t>
  </si>
  <si>
    <t> 9215166608</t>
  </si>
  <si>
    <t>T9212067882</t>
  </si>
  <si>
    <t>ST ETIENNE DE MONTLUC</t>
  </si>
  <si>
    <t>T9212067945</t>
  </si>
  <si>
    <t>ВС 0354 II  - BC 0354 TT</t>
  </si>
  <si>
    <t> 9215166624</t>
  </si>
  <si>
    <t>T9212067895</t>
  </si>
  <si>
    <t>BC 0299 OO - BC 0291 XI</t>
  </si>
  <si>
    <t>T9212067899</t>
  </si>
  <si>
    <t>SO113BB/SO226YC</t>
  </si>
  <si>
    <t>T9212067946</t>
  </si>
  <si>
    <t>GJ12XCX/GJ27XCX</t>
  </si>
  <si>
    <t>T9212067947 </t>
  </si>
  <si>
    <t>HR</t>
  </si>
  <si>
    <t>KARLOVAC</t>
  </si>
  <si>
    <t>KK799CT/KK896YE</t>
  </si>
  <si>
    <t>06BIZUBLUBOMIR</t>
  </si>
  <si>
    <t>T9212068074</t>
  </si>
  <si>
    <t>ZV647EK/ZV353YI</t>
  </si>
  <si>
    <t>T9212068077</t>
  </si>
  <si>
    <t>13.6 + dodavka</t>
  </si>
  <si>
    <t>9215166909; 9215166910</t>
  </si>
  <si>
    <t>T9212068137</t>
  </si>
  <si>
    <t>PP500DJ/PP308YG</t>
  </si>
  <si>
    <t>9215166831; 9215166832</t>
  </si>
  <si>
    <t xml:space="preserve">T9212068068 </t>
  </si>
  <si>
    <t>9215166833; 9215166834</t>
  </si>
  <si>
    <t>T9212068069</t>
  </si>
  <si>
    <t>OLV2361903</t>
  </si>
  <si>
    <t>T9212068082</t>
  </si>
  <si>
    <t>T9212068155</t>
  </si>
  <si>
    <t>KSUJN61/KSU7PU2</t>
  </si>
  <si>
    <t>T9212068151</t>
  </si>
  <si>
    <t>RMI98570/RDE3015P</t>
  </si>
  <si>
    <t>T9212068152</t>
  </si>
  <si>
    <t>T9212068156</t>
  </si>
  <si>
    <t>T9212068157</t>
  </si>
  <si>
    <t>T9212068227</t>
  </si>
  <si>
    <t>T9212068229</t>
  </si>
  <si>
    <t>T9212068153</t>
  </si>
  <si>
    <t>T9212068154</t>
  </si>
  <si>
    <t>KSU7LC4/KSU17W4</t>
  </si>
  <si>
    <t>T9212068243</t>
  </si>
  <si>
    <t>T9212068230</t>
  </si>
  <si>
    <t>T9212068083</t>
  </si>
  <si>
    <t>T9212068035</t>
  </si>
  <si>
    <t>9215166879/9215166880</t>
  </si>
  <si>
    <t>T9212068103</t>
  </si>
  <si>
    <t>T9212068010</t>
  </si>
  <si>
    <t>T9212068087</t>
  </si>
  <si>
    <t>T9212068089</t>
  </si>
  <si>
    <t>T9212068091</t>
  </si>
  <si>
    <t>T9212068030</t>
  </si>
  <si>
    <t>T9212068148</t>
  </si>
  <si>
    <t>T9212067988</t>
  </si>
  <si>
    <t>RZ226ES/RZ207EP</t>
  </si>
  <si>
    <t>T9212068149</t>
  </si>
  <si>
    <t>T9212068094</t>
  </si>
  <si>
    <t>182728/QRD</t>
  </si>
  <si>
    <t>9215166775/9215166776</t>
  </si>
  <si>
    <t>T9212068021</t>
  </si>
  <si>
    <t>182839/UX91</t>
  </si>
  <si>
    <t>T9212068150</t>
  </si>
  <si>
    <t>182732/6N62</t>
  </si>
  <si>
    <t>182733/SGEP</t>
  </si>
  <si>
    <t>KP5128</t>
  </si>
  <si>
    <t>T9212068085</t>
  </si>
  <si>
    <t>BJ881CT/BJ541YF</t>
  </si>
  <si>
    <t>T9212068147</t>
  </si>
  <si>
    <t>KN1209F /TKA89TP</t>
  </si>
  <si>
    <t>T9212068020</t>
  </si>
  <si>
    <t>HOLUBICE</t>
  </si>
  <si>
    <t>T9212068138</t>
  </si>
  <si>
    <t>1572484-VR03839033</t>
  </si>
  <si>
    <t>T9212068162</t>
  </si>
  <si>
    <t>RZ240AT/RZ9708P</t>
  </si>
  <si>
    <t>9215167040/9215167041</t>
  </si>
  <si>
    <t>T9212068270</t>
  </si>
  <si>
    <t>T9212068231</t>
  </si>
  <si>
    <t>9215166883/9215166967</t>
  </si>
  <si>
    <t>T9212068105/T9212068201</t>
  </si>
  <si>
    <t>RDE68177/RDE4330P</t>
  </si>
  <si>
    <t>T9212068196</t>
  </si>
  <si>
    <t>T9212068092</t>
  </si>
  <si>
    <t>T9212068093</t>
  </si>
  <si>
    <t>T9212068095</t>
  </si>
  <si>
    <t>SR7320P/SR98472</t>
  </si>
  <si>
    <t>T9212068099</t>
  </si>
  <si>
    <t>T9212068203</t>
  </si>
  <si>
    <t>120040/2363082</t>
  </si>
  <si>
    <t>9215166979/4353062873</t>
  </si>
  <si>
    <t>T9212068210</t>
  </si>
  <si>
    <t>nalozi obaly Zavar - Ushin</t>
  </si>
  <si>
    <t>9215166970/9215166972</t>
  </si>
  <si>
    <t>T9212068204</t>
  </si>
  <si>
    <t>T9212068209</t>
  </si>
  <si>
    <t>183103/HFA5</t>
  </si>
  <si>
    <t>KP5129</t>
  </si>
  <si>
    <t>T9212068206</t>
  </si>
  <si>
    <t>KP5130</t>
  </si>
  <si>
    <t>KP5131</t>
  </si>
  <si>
    <t>T9212068213</t>
  </si>
  <si>
    <t>183622/D24I</t>
  </si>
  <si>
    <t>PP720FF/PP107YI</t>
  </si>
  <si>
    <t>05BENDIK-SVK</t>
  </si>
  <si>
    <t>T9212068214</t>
  </si>
  <si>
    <t>183688/S1IB</t>
  </si>
  <si>
    <t>KP5132</t>
  </si>
  <si>
    <t>T9212068207</t>
  </si>
  <si>
    <t>POBJ 472263150</t>
  </si>
  <si>
    <t>T9212068188</t>
  </si>
  <si>
    <t>B145 PDA / AG45 PDA</t>
  </si>
  <si>
    <t>T9212067968</t>
  </si>
  <si>
    <t>NEDORUCENE. TECH. PORUCHA</t>
  </si>
  <si>
    <t>KK839CS/KK667YE</t>
  </si>
  <si>
    <t>T9212068178</t>
  </si>
  <si>
    <t>nahlasene 23.08.</t>
  </si>
  <si>
    <t>SL497BZ/SL942YD</t>
  </si>
  <si>
    <t>T9212068079</t>
  </si>
  <si>
    <t>BC 0500 EX - BC 0500 XO</t>
  </si>
  <si>
    <t>T9212068081</t>
  </si>
  <si>
    <t>E</t>
  </si>
  <si>
    <t>Alovera</t>
  </si>
  <si>
    <t>NEPOTVRDENE</t>
  </si>
  <si>
    <t>nahlasene 24.08.</t>
  </si>
  <si>
    <t>REFUSED</t>
  </si>
  <si>
    <t>93INDESIT-SVK</t>
  </si>
  <si>
    <t>97</t>
  </si>
  <si>
    <t>RADOMSKO</t>
  </si>
  <si>
    <t>90</t>
  </si>
  <si>
    <t>LOZORNO</t>
  </si>
  <si>
    <t>ERA NV08/ERA HM77</t>
  </si>
  <si>
    <t>97TERMOTRANS-SK</t>
  </si>
  <si>
    <t>T9212067846</t>
  </si>
  <si>
    <t>KSU5SG1/KSU97W7</t>
  </si>
  <si>
    <t>T9212068271</t>
  </si>
  <si>
    <t>zdrzania na predchadzajucej vykladke</t>
  </si>
  <si>
    <t>T9212068232</t>
  </si>
  <si>
    <t>T9212068233</t>
  </si>
  <si>
    <t>PNT43801/RMI9R15</t>
  </si>
  <si>
    <t>T9212068244</t>
  </si>
  <si>
    <t>T9212068197</t>
  </si>
  <si>
    <t>T9212068084</t>
  </si>
  <si>
    <t>T9212068036</t>
  </si>
  <si>
    <t>9215166885/9215166968</t>
  </si>
  <si>
    <t>T9212068108/T9212068202</t>
  </si>
  <si>
    <t>T9212068097</t>
  </si>
  <si>
    <t>T9212068100</t>
  </si>
  <si>
    <t>T9212068101</t>
  </si>
  <si>
    <t>T9212068212</t>
  </si>
  <si>
    <t>183105/XSAW</t>
  </si>
  <si>
    <t>PO728GT/PO173YK</t>
  </si>
  <si>
    <t>T9212068195</t>
  </si>
  <si>
    <t>PO045GB/PO932YH</t>
  </si>
  <si>
    <t>T9212068194</t>
  </si>
  <si>
    <t>T9212068225</t>
  </si>
  <si>
    <t>183590/QADJ</t>
  </si>
  <si>
    <t>T9212068211</t>
  </si>
  <si>
    <t>T9212068223</t>
  </si>
  <si>
    <t>183589/XSFA</t>
  </si>
  <si>
    <t>T9212068224</t>
  </si>
  <si>
    <t>183591/9L4R</t>
  </si>
  <si>
    <t>9215166966/9215167072</t>
  </si>
  <si>
    <t>T9212068200/T9212068301</t>
  </si>
  <si>
    <t>NR207HU/NR922YU</t>
  </si>
  <si>
    <t>T9212068187</t>
  </si>
  <si>
    <t>B</t>
  </si>
  <si>
    <t>HUMBEEK</t>
  </si>
  <si>
    <t>PP884DP/PP556YG</t>
  </si>
  <si>
    <t>05LVTRANS</t>
  </si>
  <si>
    <t>T9212067966</t>
  </si>
  <si>
    <t>41</t>
  </si>
  <si>
    <t>AA224BA/NR180YU</t>
  </si>
  <si>
    <t>T9212067901</t>
  </si>
  <si>
    <t>13</t>
  </si>
  <si>
    <t>BH44BNC / BH10BNC</t>
  </si>
  <si>
    <t>T9212067948</t>
  </si>
  <si>
    <t>3 pracky do St. Laurent de Mure</t>
  </si>
  <si>
    <t> BC 0107 MM - BC 0107 TT</t>
  </si>
  <si>
    <t>T9212067902</t>
  </si>
  <si>
    <t>T9212068172</t>
  </si>
  <si>
    <t>9215166950; 9215166952</t>
  </si>
  <si>
    <t>T9212068183</t>
  </si>
  <si>
    <t>BT105AZ/BL557YR</t>
  </si>
  <si>
    <t>T5242520126</t>
  </si>
  <si>
    <t>38</t>
  </si>
  <si>
    <t xml:space="preserve">SATOLAS ET BONCE </t>
  </si>
  <si>
    <t>OTR114041</t>
  </si>
  <si>
    <t>TT853GU / TT161YN</t>
  </si>
  <si>
    <t>T9212068185</t>
  </si>
  <si>
    <t>20</t>
  </si>
  <si>
    <t>Arluno</t>
  </si>
  <si>
    <t>OTR114051</t>
  </si>
  <si>
    <t>T9212068184</t>
  </si>
  <si>
    <t>T9212068245</t>
  </si>
  <si>
    <t>T9212068246</t>
  </si>
  <si>
    <t>T9212068234</t>
  </si>
  <si>
    <t>RDE72549/RDE5075P</t>
  </si>
  <si>
    <t>T9212068236</t>
  </si>
  <si>
    <t>T9212068237</t>
  </si>
  <si>
    <t>T9212068238</t>
  </si>
  <si>
    <t>T9212068240</t>
  </si>
  <si>
    <t>T9212068273</t>
  </si>
  <si>
    <t>T9212068190</t>
  </si>
  <si>
    <t>SP715AO/SP436YB</t>
  </si>
  <si>
    <t>9215166957/9215167111</t>
  </si>
  <si>
    <t>T9212068191/T9212068334</t>
  </si>
  <si>
    <t>KA889BG/KA254YD</t>
  </si>
  <si>
    <t>96AGROLADZANY-SK</t>
  </si>
  <si>
    <t>9215166971/9215167148</t>
  </si>
  <si>
    <t>T9212068205/T9212068372</t>
  </si>
  <si>
    <t>PO831IP/PO915YJ</t>
  </si>
  <si>
    <t>T9212068192</t>
  </si>
  <si>
    <t> PO305HX/KE707YR</t>
  </si>
  <si>
    <t>T9212068216</t>
  </si>
  <si>
    <t>183657/VZ7M</t>
  </si>
  <si>
    <t>T9212068217</t>
  </si>
  <si>
    <t>183593/CICD</t>
  </si>
  <si>
    <t xml:space="preserve">PO764HP/PO114YN </t>
  </si>
  <si>
    <t>T9212068218</t>
  </si>
  <si>
    <t>183594/PNYH</t>
  </si>
  <si>
    <t>T9212068226</t>
  </si>
  <si>
    <t>183596/EF4E</t>
  </si>
  <si>
    <t>SR1650N/SR97713</t>
  </si>
  <si>
    <t>T9212068228</t>
  </si>
  <si>
    <t>183841/ZRNX</t>
  </si>
  <si>
    <t>9215167004/9215167007</t>
  </si>
  <si>
    <t>T9212068235/T9212068239</t>
  </si>
  <si>
    <t>183760/HQKI - nalozi obaly Hurbanovo</t>
  </si>
  <si>
    <t>T9212068241</t>
  </si>
  <si>
    <t>183763/VUM6</t>
  </si>
  <si>
    <t>T9212068242</t>
  </si>
  <si>
    <t>183765/678C</t>
  </si>
  <si>
    <t>PO211IM/PO563YN</t>
  </si>
  <si>
    <t>WELLTRANS-SVK</t>
  </si>
  <si>
    <t>T9212068193</t>
  </si>
  <si>
    <t>KP5133</t>
  </si>
  <si>
    <t>T9212068208</t>
  </si>
  <si>
    <t>KP5134</t>
  </si>
  <si>
    <t>T9212068215</t>
  </si>
  <si>
    <t>KP5135</t>
  </si>
  <si>
    <t>AB1889397</t>
  </si>
  <si>
    <t>T9212068252</t>
  </si>
  <si>
    <t>AB1889383</t>
  </si>
  <si>
    <t>T9212068253</t>
  </si>
  <si>
    <t>AB1889447</t>
  </si>
  <si>
    <t>T9212068254</t>
  </si>
  <si>
    <t>AABD701/AAIC530</t>
  </si>
  <si>
    <t>T9212068199</t>
  </si>
  <si>
    <t>T9212068250</t>
  </si>
  <si>
    <t>183768/821J</t>
  </si>
  <si>
    <t>T9212068251</t>
  </si>
  <si>
    <t>183781/544E</t>
  </si>
  <si>
    <t>9215167055/9215167056</t>
  </si>
  <si>
    <t>T9212068288</t>
  </si>
  <si>
    <t>183782/64VF</t>
  </si>
  <si>
    <t>6J64348/6J41585</t>
  </si>
  <si>
    <t>60CARGOMASTERS-SK</t>
  </si>
  <si>
    <t>T9212068279</t>
  </si>
  <si>
    <t>184169/JGPC</t>
  </si>
  <si>
    <t>BB</t>
  </si>
  <si>
    <t>BLACKBURN</t>
  </si>
  <si>
    <t>POBJ. nr. 1936750044</t>
  </si>
  <si>
    <t>T9212068180</t>
  </si>
  <si>
    <t>LE543BC</t>
  </si>
  <si>
    <t>9215167050; 9215167051; 9215167052; 9215167053</t>
  </si>
  <si>
    <t>T9212068280</t>
  </si>
  <si>
    <t xml:space="preserve">SO905BD / SO345YC </t>
  </si>
  <si>
    <t>T9212068140</t>
  </si>
  <si>
    <t>9215167070; 9215167071</t>
  </si>
  <si>
    <t>T9212068302</t>
  </si>
  <si>
    <t>PP500DJ / PP650YG</t>
  </si>
  <si>
    <t>9215166951;9215166953</t>
  </si>
  <si>
    <t>T9212068182</t>
  </si>
  <si>
    <t>RLE54464/RLE04PP</t>
  </si>
  <si>
    <t>T9212068272</t>
  </si>
  <si>
    <t>T9212068315</t>
  </si>
  <si>
    <t>T9212068316</t>
  </si>
  <si>
    <t>vikendovy priplatok 60,50€</t>
  </si>
  <si>
    <t>9215167084/9215167224</t>
  </si>
  <si>
    <t>T9212068317/T9212068446</t>
  </si>
  <si>
    <t>T9212068256</t>
  </si>
  <si>
    <t>183767/UR31</t>
  </si>
  <si>
    <t>T9212068257</t>
  </si>
  <si>
    <t>183780/IV3G</t>
  </si>
  <si>
    <t>9215167033/9215167036</t>
  </si>
  <si>
    <t>T9212068264/T9212068266</t>
  </si>
  <si>
    <t>nalozi obaly Hurbanovo 184027/M66V</t>
  </si>
  <si>
    <t>T9212068277</t>
  </si>
  <si>
    <t>183915/71U7</t>
  </si>
  <si>
    <t>T9212068289</t>
  </si>
  <si>
    <t>184034/6IAS</t>
  </si>
  <si>
    <t>9215167086/9215167610</t>
  </si>
  <si>
    <t>T9212068319/T9212068783</t>
  </si>
  <si>
    <t>183925/JIZD</t>
  </si>
  <si>
    <t>T9212068290</t>
  </si>
  <si>
    <t>184211/CUB3</t>
  </si>
  <si>
    <t>T9212068303</t>
  </si>
  <si>
    <t>184262/HCQC</t>
  </si>
  <si>
    <t>9215167096/9215167097</t>
  </si>
  <si>
    <t>T9212068329</t>
  </si>
  <si>
    <t> 184088/ S8ZS</t>
  </si>
  <si>
    <t>T9212068304</t>
  </si>
  <si>
    <t>T9212068198</t>
  </si>
  <si>
    <t>T9212068268</t>
  </si>
  <si>
    <t>T9212068269</t>
  </si>
  <si>
    <t>T9212068295</t>
  </si>
  <si>
    <t>T9212068296</t>
  </si>
  <si>
    <t>T9212068297</t>
  </si>
  <si>
    <t>PO604FD/PO238YK</t>
  </si>
  <si>
    <t>T9212068307</t>
  </si>
  <si>
    <t>PO604FD/PO276YK</t>
  </si>
  <si>
    <t>T9212068309</t>
  </si>
  <si>
    <t>PK048A</t>
  </si>
  <si>
    <t>KE682MU</t>
  </si>
  <si>
    <t>T9212068321</t>
  </si>
  <si>
    <t>PK108B</t>
  </si>
  <si>
    <t>AA999BB</t>
  </si>
  <si>
    <t>T9212068322</t>
  </si>
  <si>
    <t>SROT361/682320</t>
  </si>
  <si>
    <t>C1</t>
  </si>
  <si>
    <t>T9212068367</t>
  </si>
  <si>
    <t>NR321IV/NR586YS</t>
  </si>
  <si>
    <t>T9212068189</t>
  </si>
  <si>
    <t>POBJ 472263155</t>
  </si>
  <si>
    <t>NR623ID/NR806YV</t>
  </si>
  <si>
    <t>T9212068274</t>
  </si>
  <si>
    <t>SO620BH / SO207YC</t>
  </si>
  <si>
    <t>T9212067952</t>
  </si>
  <si>
    <t>77</t>
  </si>
  <si>
    <t>180KS</t>
  </si>
  <si>
    <t>SM30LSA/SM27LSA</t>
  </si>
  <si>
    <t>T9212068267</t>
  </si>
  <si>
    <t>SO206BH / SO603YC</t>
  </si>
  <si>
    <t>T9212068171</t>
  </si>
  <si>
    <t>T9212068265</t>
  </si>
  <si>
    <t>T9212068318</t>
  </si>
  <si>
    <t>T9212068326</t>
  </si>
  <si>
    <t>183916/CMJ9</t>
  </si>
  <si>
    <t>T9212068327</t>
  </si>
  <si>
    <t>183918/IUV7</t>
  </si>
  <si>
    <t>T9212068278</t>
  </si>
  <si>
    <t>184033/VZ4J</t>
  </si>
  <si>
    <t>T9212068328</t>
  </si>
  <si>
    <t>183909/WRAP</t>
  </si>
  <si>
    <t>T9212068310</t>
  </si>
  <si>
    <t>184286/SZXT</t>
  </si>
  <si>
    <t>T9212068331</t>
  </si>
  <si>
    <t>T9212068332</t>
  </si>
  <si>
    <t>T9212068333</t>
  </si>
  <si>
    <t>KP5136</t>
  </si>
  <si>
    <t>T9212068330</t>
  </si>
  <si>
    <t>KP5137</t>
  </si>
  <si>
    <t>KP5138</t>
  </si>
  <si>
    <t>Dolny Kubin +  Velka Lomnica</t>
  </si>
  <si>
    <t>2364591/2364734</t>
  </si>
  <si>
    <t>SL697CH/SL215YF</t>
  </si>
  <si>
    <t>4353063030/4353063032</t>
  </si>
  <si>
    <t>T9212068337</t>
  </si>
  <si>
    <t>testovanie</t>
  </si>
  <si>
    <t>T0000000000</t>
  </si>
  <si>
    <t>- all -</t>
  </si>
  <si>
    <t>PRICE</t>
  </si>
  <si>
    <t>TYPE TRUCK</t>
  </si>
  <si>
    <t>- multiple -</t>
  </si>
  <si>
    <t>Data</t>
  </si>
  <si>
    <t>Count of CF</t>
  </si>
  <si>
    <t>S SALES [€]</t>
  </si>
  <si>
    <t>Sum of PURCHASE [€]</t>
  </si>
  <si>
    <t>Sum of MARGIN [€]</t>
  </si>
  <si>
    <t>921 Result</t>
  </si>
  <si>
    <t>CEVA SK Result</t>
  </si>
  <si>
    <t>Total Result</t>
  </si>
  <si>
    <t>92NTG-SK-MF</t>
  </si>
  <si>
    <t>GA104FZ/GA358YJ</t>
  </si>
  <si>
    <t>MEGA/MULDA</t>
  </si>
  <si>
    <t>92ZEDO-MF</t>
  </si>
  <si>
    <t>SA701DE / SA649YF</t>
  </si>
  <si>
    <t>02MFC-MF</t>
  </si>
  <si>
    <t>CA797CT/CA228YF</t>
  </si>
  <si>
    <t>(empty)</t>
  </si>
  <si>
    <t>Total Count of LOADING CITY</t>
  </si>
  <si>
    <t>Total Sum of PURCHASE [€]</t>
  </si>
  <si>
    <t>Count of LOADING CITY</t>
  </si>
  <si>
    <t>Dopravca</t>
  </si>
  <si>
    <t>Nazov firmy</t>
  </si>
  <si>
    <t>TPOP</t>
  </si>
  <si>
    <t>Helpol</t>
  </si>
  <si>
    <t>Helpol Trans s.r.o.</t>
  </si>
  <si>
    <t>Autotransport</t>
  </si>
  <si>
    <t>Autotransport, s.r.o.,</t>
  </si>
  <si>
    <t>08AUTOTRANSPORT</t>
  </si>
  <si>
    <t>Lukri</t>
  </si>
  <si>
    <t>Lukri s.r.o.</t>
  </si>
  <si>
    <t>03LUKRI-SK</t>
  </si>
  <si>
    <t>Strachan</t>
  </si>
  <si>
    <t>Strachan Autodoprava s.r.o.</t>
  </si>
  <si>
    <t>Kopex</t>
  </si>
  <si>
    <t>Kopex Services</t>
  </si>
  <si>
    <t>Sivon</t>
  </si>
  <si>
    <t>Sivon Transport s.r.o.</t>
  </si>
  <si>
    <t>RS Trans</t>
  </si>
  <si>
    <t>RS - Trans s.r.o.</t>
  </si>
  <si>
    <t>04RSTRANS-SK</t>
  </si>
  <si>
    <t>Westukrtrans</t>
  </si>
  <si>
    <t>Chedos</t>
  </si>
  <si>
    <t>Chemosvit CHEDOS sro</t>
  </si>
  <si>
    <t>05CHEMOSVITCHEDOS</t>
  </si>
  <si>
    <t>S&amp;M Trading s.r.o.</t>
  </si>
  <si>
    <t>Vlcak</t>
  </si>
  <si>
    <t>Vlcak s.r.o.</t>
  </si>
  <si>
    <t>02VLCAK-SVK</t>
  </si>
  <si>
    <t>Boomsnack</t>
  </si>
  <si>
    <t>Boom Snack Slovakia s.r.o.</t>
  </si>
  <si>
    <t>Mhtransport</t>
  </si>
  <si>
    <t>MH Transport s.r.o.</t>
  </si>
  <si>
    <t>Bizub</t>
  </si>
  <si>
    <t>Lubomir Bizub</t>
  </si>
  <si>
    <t>Cirak</t>
  </si>
  <si>
    <t>Jan Cirak</t>
  </si>
  <si>
    <t>06CIRAKJAN</t>
  </si>
  <si>
    <t>JDJ</t>
  </si>
  <si>
    <t>J.D.J. Trans s.r.o.</t>
  </si>
  <si>
    <t>Lichvar</t>
  </si>
  <si>
    <t>Mibel trans s.r.o.</t>
  </si>
  <si>
    <t>06MIBELTRANS</t>
  </si>
  <si>
    <t>Frenk</t>
  </si>
  <si>
    <t>Frenk s.r.o.</t>
  </si>
  <si>
    <t>Attila veres</t>
  </si>
  <si>
    <t>Veres Attila</t>
  </si>
  <si>
    <t>Bondra</t>
  </si>
  <si>
    <t>Bondra s.r.o.</t>
  </si>
  <si>
    <t>MUSKA</t>
  </si>
  <si>
    <t>Muskatransport &amp; Logistik Spol. s r.o.</t>
  </si>
  <si>
    <t>January</t>
  </si>
  <si>
    <t>February</t>
  </si>
  <si>
    <t>March</t>
  </si>
  <si>
    <t>April</t>
  </si>
  <si>
    <t>Grand Total</t>
  </si>
  <si>
    <t>pre Tomasa</t>
  </si>
  <si>
    <t>March TURNOVER</t>
  </si>
  <si>
    <t>Komentar</t>
  </si>
  <si>
    <t>dohodnuta pravidelna kapacita DE73</t>
  </si>
  <si>
    <t>STIGA/GARRETT</t>
  </si>
  <si>
    <t>prakticky ziadna kapacita okrem bestland</t>
  </si>
  <si>
    <t>Count of CLIENT</t>
  </si>
  <si>
    <t>KLIENT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</si>
</sst>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m/d/yyyy"/>
    <numFmt numFmtId="165" formatCode="[$-409]h:mm:ss\ AM/PM;@"/>
    <numFmt numFmtId="166" formatCode="0.0"/>
    <numFmt numFmtId="167" formatCode="_(\€* #,##0.00_);_(\€* \(#,##0.00\);_(\€* \-??_);_(@_)"/>
    <numFmt numFmtId="168" formatCode="_-* #,##0.00\ [$€-1]_-;\-* #,##0.00\ [$€-1]_-;_-* \-??\ [$€-1]_-;_-@_-"/>
    <numFmt numFmtId="169" formatCode="0.0%"/>
    <numFmt numFmtId="170" formatCode="[$-F400]h:mm:ss\ AM/PM"/>
    <numFmt numFmtId="171" formatCode="0.0\ %"/>
    <numFmt numFmtId="172" formatCode="0.000"/>
    <numFmt numFmtId="174" formatCode="_-* #,##0\ [$€-41B]_-;\-* #,##0\ [$€-41B]_-;_-* \-??\ [$€-41B]_-;_-@_-"/>
    <numFmt numFmtId="175" formatCode="_-* #,##0.00\ [$€-41B]_-;\-* #,##0.00\ [$€-41B]_-;_-* \-??\ [$€-41B]_-;_-@_-"/>
    <numFmt numFmtId="176" formatCode="d/m;@"/>
    <numFmt numFmtId="177" formatCode="_-* #,##0\ [$€-1]_-;\-* #,##0\ [$€-1]_-;_-* \-??\ [$€-1]_-;_-@_-"/>
    <numFmt numFmtId="178" formatCode="mmm\-yy"/>
  </numFmts>
  <fonts count="12" x14ac:knownFonts="1">
    <font>
      <sz val="11"/>
      <color rgb="FF000000"/>
      <name val="Calibri"/>
      <family val="2"/>
      <charset val="238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b/>
      <sz val="11"/>
      <color rgb="FF000000"/>
      <name val="Calibri"/>
      <family val="2"/>
      <charset val="238"/>
    </font>
    <font>
      <u/>
      <sz val="11"/>
      <color rgb="FF0563C1"/>
      <name val="Calibri"/>
      <family val="2"/>
      <charset val="238"/>
    </font>
    <font>
      <b/>
      <sz val="10"/>
      <color rgb="FFFFFF00"/>
      <name val="Calibri"/>
      <family val="2"/>
      <charset val="238"/>
    </font>
    <font>
      <sz val="11"/>
      <color rgb="FFFFFFFF"/>
      <name val="Calibri"/>
      <family val="2"/>
      <charset val="1"/>
    </font>
    <font>
      <sz val="11"/>
      <color rgb="FF000000"/>
      <name val="Calibri"/>
      <family val="2"/>
      <charset val="1"/>
    </font>
    <font>
      <sz val="36"/>
      <color rgb="FF000000"/>
      <name val="Calibri"/>
      <family val="2"/>
      <charset val="238"/>
    </font>
    <font>
      <sz val="22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0070C0"/>
        <bgColor rgb="FF0563C1"/>
      </patternFill>
    </fill>
    <fill>
      <patternFill patternType="solid">
        <fgColor rgb="FF92D050"/>
        <bgColor rgb="FF88B76E"/>
      </patternFill>
    </fill>
    <fill>
      <patternFill patternType="solid">
        <fgColor rgb="FFFFFF00"/>
        <bgColor rgb="FFFFD966"/>
      </patternFill>
    </fill>
    <fill>
      <patternFill patternType="solid">
        <fgColor rgb="FF305496"/>
        <bgColor rgb="FF325491"/>
      </patternFill>
    </fill>
    <fill>
      <patternFill patternType="solid">
        <fgColor rgb="FF8EA9DB"/>
        <bgColor rgb="FF9EADD7"/>
      </patternFill>
    </fill>
    <fill>
      <patternFill patternType="solid">
        <fgColor rgb="FFD9E1F2"/>
        <bgColor rgb="FFDEEBF7"/>
      </patternFill>
    </fill>
    <fill>
      <patternFill patternType="solid">
        <fgColor rgb="FFFFD966"/>
        <bgColor rgb="FFFFC75D"/>
      </patternFill>
    </fill>
    <fill>
      <patternFill patternType="solid">
        <fgColor rgb="FFFF0000"/>
        <bgColor rgb="FFAF5C24"/>
      </patternFill>
    </fill>
    <fill>
      <patternFill patternType="solid">
        <fgColor rgb="FFDEEBF7"/>
        <bgColor rgb="FFD9E1F2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rgb="FF9DC3E6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">
    <xf numFmtId="0" fontId="0" fillId="0" borderId="0"/>
    <xf numFmtId="167" fontId="10" fillId="0" borderId="0" applyBorder="0" applyProtection="0"/>
    <xf numFmtId="9" fontId="10" fillId="0" borderId="0" applyBorder="0" applyProtection="0"/>
    <xf numFmtId="0" fontId="4" fillId="0" borderId="0" applyBorder="0" applyProtection="0"/>
    <xf numFmtId="0" fontId="1" fillId="0" borderId="0"/>
    <xf numFmtId="0" fontId="2" fillId="0" borderId="0"/>
    <xf numFmtId="0" fontId="10" fillId="0" borderId="0" applyBorder="0" applyProtection="0"/>
    <xf numFmtId="0" fontId="10" fillId="0" borderId="0" applyBorder="0" applyProtection="0"/>
    <xf numFmtId="0" fontId="10" fillId="0" borderId="0" applyBorder="0" applyProtection="0"/>
    <xf numFmtId="0" fontId="10" fillId="0" borderId="0" applyBorder="0" applyProtection="0">
      <alignment horizontal="left"/>
    </xf>
    <xf numFmtId="0" fontId="3" fillId="0" borderId="0" applyBorder="0" applyProtection="0">
      <alignment horizontal="left"/>
    </xf>
    <xf numFmtId="0" fontId="3" fillId="0" borderId="0" applyBorder="0" applyProtection="0"/>
  </cellStyleXfs>
  <cellXfs count="150">
    <xf numFmtId="0" fontId="0" fillId="0" borderId="0" xfId="0"/>
    <xf numFmtId="0" fontId="8" fillId="0" borderId="0" xfId="0" applyFont="1" applyBorder="1" applyAlignment="1">
      <alignment horizontal="center" vertical="center"/>
    </xf>
    <xf numFmtId="0" fontId="4" fillId="0" borderId="0" xfId="3" applyFont="1" applyBorder="1" applyAlignment="1" applyProtection="1"/>
    <xf numFmtId="2" fontId="0" fillId="0" borderId="0" xfId="0" applyNumberFormat="1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8" fontId="0" fillId="0" borderId="0" xfId="1" applyNumberFormat="1" applyFont="1" applyBorder="1" applyAlignment="1" applyProtection="1"/>
    <xf numFmtId="169" fontId="0" fillId="0" borderId="0" xfId="2" applyNumberFormat="1" applyFont="1" applyBorder="1" applyAlignment="1" applyProtection="1"/>
    <xf numFmtId="1" fontId="5" fillId="2" borderId="1" xfId="0" applyNumberFormat="1" applyFont="1" applyFill="1" applyBorder="1" applyAlignment="1">
      <alignment wrapText="1"/>
    </xf>
    <xf numFmtId="0" fontId="5" fillId="2" borderId="1" xfId="0" applyFont="1" applyFill="1" applyBorder="1" applyAlignment="1">
      <alignment wrapText="1"/>
    </xf>
    <xf numFmtId="164" fontId="5" fillId="3" borderId="1" xfId="0" applyNumberFormat="1" applyFont="1" applyFill="1" applyBorder="1" applyAlignment="1">
      <alignment wrapText="1"/>
    </xf>
    <xf numFmtId="49" fontId="5" fillId="3" borderId="1" xfId="0" applyNumberFormat="1" applyFont="1" applyFill="1" applyBorder="1" applyAlignment="1">
      <alignment wrapText="1"/>
    </xf>
    <xf numFmtId="0" fontId="5" fillId="3" borderId="1" xfId="0" applyFont="1" applyFill="1" applyBorder="1" applyAlignment="1">
      <alignment wrapText="1"/>
    </xf>
    <xf numFmtId="170" fontId="5" fillId="3" borderId="1" xfId="0" applyNumberFormat="1" applyFont="1" applyFill="1" applyBorder="1" applyAlignment="1">
      <alignment wrapText="1"/>
    </xf>
    <xf numFmtId="2" fontId="5" fillId="3" borderId="1" xfId="0" applyNumberFormat="1" applyFont="1" applyFill="1" applyBorder="1" applyAlignment="1">
      <alignment wrapText="1"/>
    </xf>
    <xf numFmtId="0" fontId="5" fillId="3" borderId="1" xfId="0" applyFont="1" applyFill="1" applyBorder="1" applyAlignment="1">
      <alignment horizontal="left" wrapText="1"/>
    </xf>
    <xf numFmtId="0" fontId="5" fillId="3" borderId="1" xfId="0" applyFont="1" applyFill="1" applyBorder="1" applyAlignment="1">
      <alignment horizontal="center" wrapText="1"/>
    </xf>
    <xf numFmtId="171" fontId="5" fillId="2" borderId="1" xfId="0" applyNumberFormat="1" applyFont="1" applyFill="1" applyBorder="1" applyAlignment="1">
      <alignment wrapText="1"/>
    </xf>
    <xf numFmtId="172" fontId="5" fillId="2" borderId="1" xfId="0" applyNumberFormat="1" applyFont="1" applyFill="1" applyBorder="1" applyAlignment="1">
      <alignment wrapText="1"/>
    </xf>
    <xf numFmtId="166" fontId="5" fillId="2" borderId="1" xfId="0" applyNumberFormat="1" applyFont="1" applyFill="1" applyBorder="1" applyAlignment="1">
      <alignment wrapText="1"/>
    </xf>
    <xf numFmtId="170" fontId="0" fillId="0" borderId="0" xfId="0" applyNumberFormat="1"/>
    <xf numFmtId="49" fontId="0" fillId="4" borderId="0" xfId="0" applyNumberFormat="1" applyFill="1"/>
    <xf numFmtId="2" fontId="0" fillId="0" borderId="0" xfId="0" applyNumberFormat="1" applyAlignment="1">
      <alignment horizontal="right"/>
    </xf>
    <xf numFmtId="168" fontId="0" fillId="0" borderId="0" xfId="0" applyNumberFormat="1"/>
    <xf numFmtId="169" fontId="0" fillId="0" borderId="0" xfId="0" applyNumberFormat="1"/>
    <xf numFmtId="0" fontId="0" fillId="0" borderId="0" xfId="6" applyFont="1"/>
    <xf numFmtId="0" fontId="0" fillId="0" borderId="2" xfId="0" applyFont="1" applyBorder="1"/>
    <xf numFmtId="0" fontId="10" fillId="0" borderId="3" xfId="7" applyBorder="1"/>
    <xf numFmtId="0" fontId="10" fillId="0" borderId="4" xfId="7" applyBorder="1"/>
    <xf numFmtId="0" fontId="10" fillId="0" borderId="5" xfId="8" applyBorder="1"/>
    <xf numFmtId="0" fontId="10" fillId="0" borderId="6" xfId="8" applyBorder="1"/>
    <xf numFmtId="9" fontId="0" fillId="0" borderId="0" xfId="2" applyFont="1" applyBorder="1" applyAlignment="1" applyProtection="1"/>
    <xf numFmtId="9" fontId="0" fillId="0" borderId="0" xfId="0" applyNumberFormat="1"/>
    <xf numFmtId="174" fontId="0" fillId="0" borderId="0" xfId="0" applyNumberFormat="1"/>
    <xf numFmtId="0" fontId="6" fillId="5" borderId="7" xfId="0" applyFont="1" applyFill="1" applyBorder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9" xfId="0" applyFont="1" applyFill="1" applyBorder="1" applyAlignment="1">
      <alignment vertical="center"/>
    </xf>
    <xf numFmtId="0" fontId="10" fillId="0" borderId="7" xfId="7" applyBorder="1"/>
    <xf numFmtId="0" fontId="10" fillId="0" borderId="10" xfId="7" applyBorder="1"/>
    <xf numFmtId="0" fontId="10" fillId="0" borderId="11" xfId="7" applyBorder="1"/>
    <xf numFmtId="0" fontId="0" fillId="0" borderId="12" xfId="6" applyFont="1" applyBorder="1"/>
    <xf numFmtId="0" fontId="10" fillId="0" borderId="13" xfId="7" applyBorder="1"/>
    <xf numFmtId="0" fontId="0" fillId="0" borderId="14" xfId="6" applyFont="1" applyBorder="1"/>
    <xf numFmtId="0" fontId="0" fillId="0" borderId="2" xfId="6" applyFont="1" applyBorder="1"/>
    <xf numFmtId="0" fontId="0" fillId="0" borderId="15" xfId="9" applyFont="1" applyBorder="1">
      <alignment horizontal="left"/>
    </xf>
    <xf numFmtId="0" fontId="0" fillId="0" borderId="16" xfId="9" applyFont="1" applyBorder="1">
      <alignment horizontal="left"/>
    </xf>
    <xf numFmtId="0" fontId="0" fillId="0" borderId="17" xfId="9" applyFont="1" applyBorder="1">
      <alignment horizontal="left"/>
    </xf>
    <xf numFmtId="0" fontId="10" fillId="0" borderId="18" xfId="9" applyBorder="1">
      <alignment horizontal="left"/>
    </xf>
    <xf numFmtId="0" fontId="0" fillId="0" borderId="19" xfId="9" applyFont="1" applyBorder="1">
      <alignment horizontal="left"/>
    </xf>
    <xf numFmtId="49" fontId="0" fillId="0" borderId="19" xfId="9" applyNumberFormat="1" applyFont="1" applyBorder="1">
      <alignment horizontal="left"/>
    </xf>
    <xf numFmtId="49" fontId="10" fillId="0" borderId="2" xfId="9" applyNumberFormat="1" applyBorder="1">
      <alignment horizontal="left"/>
    </xf>
    <xf numFmtId="0" fontId="0" fillId="0" borderId="2" xfId="9" applyFont="1" applyBorder="1">
      <alignment horizontal="left"/>
    </xf>
    <xf numFmtId="0" fontId="10" fillId="0" borderId="20" xfId="8" applyBorder="1"/>
    <xf numFmtId="168" fontId="10" fillId="0" borderId="21" xfId="8" applyNumberFormat="1" applyBorder="1"/>
    <xf numFmtId="168" fontId="10" fillId="0" borderId="22" xfId="8" applyNumberFormat="1" applyBorder="1"/>
    <xf numFmtId="0" fontId="10" fillId="0" borderId="23" xfId="9" applyBorder="1">
      <alignment horizontal="left"/>
    </xf>
    <xf numFmtId="0" fontId="10" fillId="0" borderId="24" xfId="9" applyBorder="1">
      <alignment horizontal="left"/>
    </xf>
    <xf numFmtId="49" fontId="10" fillId="0" borderId="24" xfId="9" applyNumberFormat="1" applyBorder="1">
      <alignment horizontal="left"/>
    </xf>
    <xf numFmtId="0" fontId="10" fillId="0" borderId="1" xfId="9" applyBorder="1">
      <alignment horizontal="left"/>
    </xf>
    <xf numFmtId="49" fontId="10" fillId="0" borderId="1" xfId="9" applyNumberFormat="1" applyBorder="1">
      <alignment horizontal="left"/>
    </xf>
    <xf numFmtId="0" fontId="10" fillId="0" borderId="25" xfId="9" applyBorder="1">
      <alignment horizontal="left"/>
    </xf>
    <xf numFmtId="49" fontId="10" fillId="0" borderId="21" xfId="9" applyNumberFormat="1" applyBorder="1">
      <alignment horizontal="left"/>
    </xf>
    <xf numFmtId="0" fontId="10" fillId="0" borderId="21" xfId="9" applyBorder="1">
      <alignment horizontal="left"/>
    </xf>
    <xf numFmtId="0" fontId="10" fillId="0" borderId="26" xfId="9" applyBorder="1">
      <alignment horizontal="left"/>
    </xf>
    <xf numFmtId="0" fontId="3" fillId="0" borderId="27" xfId="10" applyFont="1" applyBorder="1">
      <alignment horizontal="left"/>
    </xf>
    <xf numFmtId="0" fontId="3" fillId="0" borderId="21" xfId="10" applyBorder="1">
      <alignment horizontal="left"/>
    </xf>
    <xf numFmtId="49" fontId="3" fillId="0" borderId="21" xfId="10" applyNumberFormat="1" applyBorder="1">
      <alignment horizontal="left"/>
    </xf>
    <xf numFmtId="0" fontId="3" fillId="0" borderId="26" xfId="10" applyBorder="1">
      <alignment horizontal="left"/>
    </xf>
    <xf numFmtId="0" fontId="3" fillId="0" borderId="20" xfId="11" applyBorder="1"/>
    <xf numFmtId="168" fontId="3" fillId="0" borderId="21" xfId="11" applyNumberFormat="1" applyBorder="1"/>
    <xf numFmtId="168" fontId="3" fillId="0" borderId="22" xfId="11" applyNumberFormat="1" applyBorder="1"/>
    <xf numFmtId="0" fontId="0" fillId="0" borderId="14" xfId="9" applyFont="1" applyBorder="1">
      <alignment horizontal="left"/>
    </xf>
    <xf numFmtId="0" fontId="3" fillId="0" borderId="5" xfId="10" applyFont="1" applyBorder="1">
      <alignment horizontal="left"/>
    </xf>
    <xf numFmtId="0" fontId="3" fillId="0" borderId="28" xfId="10" applyBorder="1">
      <alignment horizontal="left"/>
    </xf>
    <xf numFmtId="49" fontId="3" fillId="0" borderId="28" xfId="10" applyNumberFormat="1" applyBorder="1">
      <alignment horizontal="left"/>
    </xf>
    <xf numFmtId="0" fontId="3" fillId="0" borderId="29" xfId="10" applyBorder="1">
      <alignment horizontal="left"/>
    </xf>
    <xf numFmtId="0" fontId="3" fillId="0" borderId="30" xfId="11" applyBorder="1"/>
    <xf numFmtId="168" fontId="3" fillId="0" borderId="28" xfId="11" applyNumberFormat="1" applyBorder="1"/>
    <xf numFmtId="168" fontId="3" fillId="0" borderId="6" xfId="11" applyNumberFormat="1" applyBorder="1"/>
    <xf numFmtId="0" fontId="6" fillId="6" borderId="3" xfId="0" applyFont="1" applyFill="1" applyBorder="1" applyAlignment="1">
      <alignment vertical="center"/>
    </xf>
    <xf numFmtId="0" fontId="7" fillId="7" borderId="31" xfId="0" applyFont="1" applyFill="1" applyBorder="1" applyAlignment="1">
      <alignment vertical="center"/>
    </xf>
    <xf numFmtId="175" fontId="0" fillId="0" borderId="4" xfId="0" applyNumberFormat="1" applyBorder="1"/>
    <xf numFmtId="0" fontId="6" fillId="6" borderId="5" xfId="0" applyFont="1" applyFill="1" applyBorder="1" applyAlignment="1">
      <alignment vertical="center"/>
    </xf>
    <xf numFmtId="0" fontId="7" fillId="7" borderId="32" xfId="0" applyFont="1" applyFill="1" applyBorder="1" applyAlignment="1">
      <alignment vertical="center"/>
    </xf>
    <xf numFmtId="175" fontId="0" fillId="0" borderId="6" xfId="0" applyNumberFormat="1" applyBorder="1"/>
    <xf numFmtId="0" fontId="10" fillId="0" borderId="33" xfId="7" applyBorder="1"/>
    <xf numFmtId="0" fontId="10" fillId="0" borderId="9" xfId="7" applyBorder="1"/>
    <xf numFmtId="176" fontId="0" fillId="0" borderId="0" xfId="0" applyNumberFormat="1"/>
    <xf numFmtId="0" fontId="10" fillId="0" borderId="23" xfId="7" applyBorder="1"/>
    <xf numFmtId="164" fontId="10" fillId="0" borderId="20" xfId="9" applyNumberFormat="1" applyBorder="1">
      <alignment horizontal="left"/>
    </xf>
    <xf numFmtId="164" fontId="10" fillId="0" borderId="26" xfId="9" applyNumberFormat="1" applyBorder="1">
      <alignment horizontal="left"/>
    </xf>
    <xf numFmtId="164" fontId="3" fillId="0" borderId="19" xfId="10" applyNumberFormat="1" applyFont="1" applyBorder="1">
      <alignment horizontal="left"/>
    </xf>
    <xf numFmtId="164" fontId="3" fillId="0" borderId="34" xfId="10" applyNumberFormat="1" applyFont="1" applyBorder="1">
      <alignment horizontal="left"/>
    </xf>
    <xf numFmtId="0" fontId="0" fillId="0" borderId="20" xfId="9" applyFont="1" applyBorder="1">
      <alignment horizontal="left"/>
    </xf>
    <xf numFmtId="0" fontId="3" fillId="0" borderId="1" xfId="10" applyBorder="1">
      <alignment horizontal="left"/>
    </xf>
    <xf numFmtId="0" fontId="3" fillId="0" borderId="35" xfId="10" applyBorder="1">
      <alignment horizontal="left"/>
    </xf>
    <xf numFmtId="49" fontId="0" fillId="0" borderId="18" xfId="9" applyNumberFormat="1" applyFont="1" applyBorder="1">
      <alignment horizontal="left"/>
    </xf>
    <xf numFmtId="168" fontId="10" fillId="0" borderId="26" xfId="8" applyNumberFormat="1" applyBorder="1"/>
    <xf numFmtId="0" fontId="3" fillId="0" borderId="2" xfId="11" applyBorder="1"/>
    <xf numFmtId="0" fontId="3" fillId="0" borderId="36" xfId="11" applyBorder="1"/>
    <xf numFmtId="49" fontId="3" fillId="0" borderId="37" xfId="10" applyNumberFormat="1" applyFont="1" applyBorder="1">
      <alignment horizontal="left"/>
    </xf>
    <xf numFmtId="168" fontId="3" fillId="0" borderId="29" xfId="11" applyNumberFormat="1" applyBorder="1"/>
    <xf numFmtId="0" fontId="3" fillId="0" borderId="38" xfId="11" applyBorder="1"/>
    <xf numFmtId="0" fontId="3" fillId="0" borderId="39" xfId="11" applyBorder="1"/>
    <xf numFmtId="0" fontId="7" fillId="0" borderId="40" xfId="0" applyFont="1" applyBorder="1" applyAlignment="1">
      <alignment vertical="center"/>
    </xf>
    <xf numFmtId="0" fontId="7" fillId="0" borderId="41" xfId="0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7" fillId="0" borderId="43" xfId="0" applyFont="1" applyBorder="1" applyAlignment="1">
      <alignment vertical="center"/>
    </xf>
    <xf numFmtId="0" fontId="7" fillId="8" borderId="43" xfId="0" applyFont="1" applyFill="1" applyBorder="1" applyAlignment="1">
      <alignment vertical="center"/>
    </xf>
    <xf numFmtId="0" fontId="7" fillId="9" borderId="43" xfId="0" applyFont="1" applyFill="1" applyBorder="1" applyAlignment="1">
      <alignment vertical="center"/>
    </xf>
    <xf numFmtId="0" fontId="3" fillId="10" borderId="2" xfId="0" applyFont="1" applyFill="1" applyBorder="1"/>
    <xf numFmtId="0" fontId="3" fillId="10" borderId="2" xfId="0" applyFont="1" applyFill="1" applyBorder="1" applyAlignment="1">
      <alignment horizontal="center"/>
    </xf>
    <xf numFmtId="0" fontId="3" fillId="10" borderId="44" xfId="0" applyFont="1" applyFill="1" applyBorder="1" applyAlignment="1">
      <alignment horizontal="center"/>
    </xf>
    <xf numFmtId="1" fontId="0" fillId="0" borderId="2" xfId="0" applyNumberFormat="1" applyBorder="1"/>
    <xf numFmtId="164" fontId="3" fillId="10" borderId="2" xfId="0" applyNumberFormat="1" applyFont="1" applyFill="1" applyBorder="1"/>
    <xf numFmtId="1" fontId="3" fillId="10" borderId="2" xfId="0" applyNumberFormat="1" applyFont="1" applyFill="1" applyBorder="1"/>
    <xf numFmtId="164" fontId="3" fillId="10" borderId="45" xfId="0" applyNumberFormat="1" applyFont="1" applyFill="1" applyBorder="1"/>
    <xf numFmtId="1" fontId="3" fillId="10" borderId="45" xfId="0" applyNumberFormat="1" applyFont="1" applyFill="1" applyBorder="1"/>
    <xf numFmtId="0" fontId="3" fillId="10" borderId="24" xfId="0" applyFont="1" applyFill="1" applyBorder="1" applyAlignment="1">
      <alignment horizontal="center"/>
    </xf>
    <xf numFmtId="177" fontId="0" fillId="0" borderId="2" xfId="0" applyNumberFormat="1" applyBorder="1"/>
    <xf numFmtId="177" fontId="3" fillId="10" borderId="2" xfId="0" applyNumberFormat="1" applyFont="1" applyFill="1" applyBorder="1"/>
    <xf numFmtId="164" fontId="10" fillId="0" borderId="15" xfId="9" applyNumberFormat="1" applyBorder="1">
      <alignment horizontal="left"/>
    </xf>
    <xf numFmtId="164" fontId="10" fillId="0" borderId="16" xfId="9" applyNumberFormat="1" applyBorder="1">
      <alignment horizontal="left"/>
    </xf>
    <xf numFmtId="164" fontId="3" fillId="0" borderId="36" xfId="10" applyNumberFormat="1" applyFont="1" applyBorder="1">
      <alignment horizontal="left"/>
    </xf>
    <xf numFmtId="0" fontId="10" fillId="0" borderId="46" xfId="8" applyBorder="1"/>
    <xf numFmtId="0" fontId="10" fillId="0" borderId="47" xfId="8" applyBorder="1"/>
    <xf numFmtId="0" fontId="10" fillId="0" borderId="48" xfId="8" applyBorder="1"/>
    <xf numFmtId="0" fontId="3" fillId="0" borderId="34" xfId="11" applyBorder="1"/>
    <xf numFmtId="0" fontId="10" fillId="0" borderId="44" xfId="8" applyBorder="1"/>
    <xf numFmtId="0" fontId="10" fillId="0" borderId="0" xfId="8"/>
    <xf numFmtId="0" fontId="10" fillId="0" borderId="49" xfId="8" applyBorder="1"/>
    <xf numFmtId="0" fontId="3" fillId="0" borderId="50" xfId="11" applyBorder="1"/>
    <xf numFmtId="0" fontId="10" fillId="0" borderId="15" xfId="8" applyBorder="1"/>
    <xf numFmtId="0" fontId="10" fillId="0" borderId="16" xfId="8" applyBorder="1"/>
    <xf numFmtId="0" fontId="10" fillId="0" borderId="51" xfId="8" applyBorder="1"/>
    <xf numFmtId="0" fontId="3" fillId="0" borderId="35" xfId="11" applyBorder="1"/>
    <xf numFmtId="0" fontId="3" fillId="0" borderId="37" xfId="10" applyFont="1" applyBorder="1">
      <alignment horizontal="left"/>
    </xf>
    <xf numFmtId="0" fontId="3" fillId="0" borderId="30" xfId="11" applyBorder="1"/>
    <xf numFmtId="0" fontId="3" fillId="0" borderId="28" xfId="11" applyBorder="1"/>
    <xf numFmtId="0" fontId="3" fillId="0" borderId="29" xfId="11" applyBorder="1"/>
    <xf numFmtId="0" fontId="3" fillId="0" borderId="39" xfId="11" applyBorder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78" fontId="0" fillId="0" borderId="2" xfId="0" applyNumberFormat="1" applyBorder="1"/>
    <xf numFmtId="178" fontId="0" fillId="0" borderId="0" xfId="0" applyNumberFormat="1"/>
    <xf numFmtId="0" fontId="8" fillId="0" borderId="0" xfId="0" applyFont="1" applyAlignment="1">
      <alignment horizontal="center" vertical="center"/>
    </xf>
    <xf numFmtId="0" fontId="9" fillId="0" borderId="0" xfId="0" applyFont="1"/>
  </cellXfs>
  <cellStyles count="12">
    <cellStyle name="Hypertextové prepojenie" xfId="3" builtinId="8"/>
    <cellStyle name="Mena" xfId="1" builtinId="4"/>
    <cellStyle name="Normal 2" xfId="4" xr:uid="{00000000-0005-0000-0000-000006000000}"/>
    <cellStyle name="Normal 4" xfId="5" xr:uid="{00000000-0005-0000-0000-000007000000}"/>
    <cellStyle name="Normálna" xfId="0" builtinId="0"/>
    <cellStyle name="Percentá" xfId="2" builtinId="5"/>
    <cellStyle name="Pivot Table Category" xfId="9" xr:uid="{00000000-0005-0000-0000-00000B000000}"/>
    <cellStyle name="Pivot Table Corner" xfId="7" xr:uid="{00000000-0005-0000-0000-000009000000}"/>
    <cellStyle name="Pivot Table Field" xfId="6" xr:uid="{00000000-0005-0000-0000-000008000000}"/>
    <cellStyle name="Pivot Table Result" xfId="11" xr:uid="{00000000-0005-0000-0000-00000D000000}"/>
    <cellStyle name="Pivot Table Title" xfId="10" xr:uid="{00000000-0005-0000-0000-00000C000000}"/>
    <cellStyle name="Pivot Table Value" xfId="8" xr:uid="{00000000-0005-0000-0000-00000A000000}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88B76E"/>
      <rgbColor rgb="FF0000FF"/>
      <rgbColor rgb="FFFFFF00"/>
      <rgbColor rgb="FFB0B0B0"/>
      <rgbColor rgb="FF7AA8D9"/>
      <rgbColor rgb="FFBC8E00"/>
      <rgbColor rgb="FF6AA543"/>
      <rgbColor rgb="FFF3B700"/>
      <rgbColor rgb="FF527F34"/>
      <rgbColor rgb="FF6D89CA"/>
      <rgbColor rgb="FF0070C0"/>
      <rgbColor rgb="FFC5C5C5"/>
      <rgbColor rgb="FF7A7A7A"/>
      <rgbColor rgb="FF8EA9DB"/>
      <rgbColor rgb="FF595959"/>
      <rgbColor rgb="FFD8D8D8"/>
      <rgbColor rgb="FFDEEBF7"/>
      <rgbColor rgb="FFA5A5A5"/>
      <rgbColor rgb="FFEE9165"/>
      <rgbColor rgb="FF0563C1"/>
      <rgbColor rgb="FFC4D4EB"/>
      <rgbColor rgb="FF000080"/>
      <rgbColor rgb="FFF6CBBE"/>
      <rgbColor rgb="FFFFC75D"/>
      <rgbColor rgb="FFA4C0E2"/>
      <rgbColor rgb="FF8D8D8D"/>
      <rgbColor rgb="FFED7D31"/>
      <rgbColor rgb="FF3A61A7"/>
      <rgbColor rgb="FF0000FF"/>
      <rgbColor rgb="FF5694CB"/>
      <rgbColor rgb="FFD9E1F2"/>
      <rgbColor rgb="FFD9D9D9"/>
      <rgbColor rgb="FFFFD966"/>
      <rgbColor rgb="FF9DC3E6"/>
      <rgbColor rgb="FFF2B19A"/>
      <rgbColor rgb="FF9EADD7"/>
      <rgbColor rgb="FFFFD597"/>
      <rgbColor rgb="FF406CBB"/>
      <rgbColor rgb="FF5B9BD5"/>
      <rgbColor rgb="FF92D050"/>
      <rgbColor rgb="FFFFC000"/>
      <rgbColor rgb="FFDAA400"/>
      <rgbColor rgb="FFE2772E"/>
      <rgbColor rgb="FF43729D"/>
      <rgbColor rgb="FF9D9D9D"/>
      <rgbColor rgb="FF325491"/>
      <rgbColor rgb="FF5F943C"/>
      <rgbColor rgb="FFACCA9E"/>
      <rgbColor rgb="FF4D84B6"/>
      <rgbColor rgb="FFAF5C24"/>
      <rgbColor rgb="FFCA6B29"/>
      <rgbColor rgb="FF305496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c:style val="2"/>
  <c:chart>
    <c:title>
      <c:tx>
        <c:rich>
          <a:bodyPr rot="0"/>
          <a:lstStyle/>
          <a:p>
            <a:pPr>
              <a:defRPr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sz="1400" b="0" strike="noStrike" spc="-1">
                <a:solidFill>
                  <a:srgbClr val="595959"/>
                </a:solidFill>
                <a:latin typeface="Calibri"/>
              </a:rPr>
              <a:t># of transports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'minuly tyzden'!$B$9</c:f>
              <c:strCache>
                <c:ptCount val="1"/>
              </c:strCache>
            </c:strRef>
          </c:tx>
          <c:spPr>
            <a:solidFill>
              <a:srgbClr val="5B9BD5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4372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BA45-4436-A539-0BDA3DAB0824}"/>
              </c:ext>
            </c:extLst>
          </c:dPt>
          <c:dPt>
            <c:idx val="1"/>
            <c:bubble3D val="0"/>
            <c:spPr>
              <a:solidFill>
                <a:srgbClr val="AF5C2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BA45-4436-A539-0BDA3DAB0824}"/>
              </c:ext>
            </c:extLst>
          </c:dPt>
          <c:dPt>
            <c:idx val="2"/>
            <c:bubble3D val="0"/>
            <c:spPr>
              <a:solidFill>
                <a:srgbClr val="7A7A7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5-BA45-4436-A539-0BDA3DAB0824}"/>
              </c:ext>
            </c:extLst>
          </c:dPt>
          <c:dPt>
            <c:idx val="3"/>
            <c:bubble3D val="0"/>
            <c:spPr>
              <a:solidFill>
                <a:srgbClr val="BC8E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7-BA45-4436-A539-0BDA3DAB0824}"/>
              </c:ext>
            </c:extLst>
          </c:dPt>
          <c:dPt>
            <c:idx val="4"/>
            <c:bubble3D val="0"/>
            <c:spPr>
              <a:solidFill>
                <a:srgbClr val="325491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9-BA45-4436-A539-0BDA3DAB0824}"/>
              </c:ext>
            </c:extLst>
          </c:dPt>
          <c:dPt>
            <c:idx val="5"/>
            <c:bubble3D val="0"/>
            <c:spPr>
              <a:solidFill>
                <a:srgbClr val="527F3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B-BA45-4436-A539-0BDA3DAB0824}"/>
              </c:ext>
            </c:extLst>
          </c:dPt>
          <c:dPt>
            <c:idx val="6"/>
            <c:bubble3D val="0"/>
            <c:spPr>
              <a:solidFill>
                <a:srgbClr val="4D84B6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D-BA45-4436-A539-0BDA3DAB0824}"/>
              </c:ext>
            </c:extLst>
          </c:dPt>
          <c:dPt>
            <c:idx val="7"/>
            <c:bubble3D val="0"/>
            <c:spPr>
              <a:solidFill>
                <a:srgbClr val="CA6B2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F-BA45-4436-A539-0BDA3DAB0824}"/>
              </c:ext>
            </c:extLst>
          </c:dPt>
          <c:dPt>
            <c:idx val="8"/>
            <c:bubble3D val="0"/>
            <c:spPr>
              <a:solidFill>
                <a:srgbClr val="8D8D8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1-BA45-4436-A539-0BDA3DAB0824}"/>
              </c:ext>
            </c:extLst>
          </c:dPt>
          <c:dPt>
            <c:idx val="9"/>
            <c:bubble3D val="0"/>
            <c:spPr>
              <a:solidFill>
                <a:srgbClr val="DAA4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3-BA45-4436-A539-0BDA3DAB0824}"/>
              </c:ext>
            </c:extLst>
          </c:dPt>
          <c:dPt>
            <c:idx val="10"/>
            <c:bubble3D val="0"/>
            <c:spPr>
              <a:solidFill>
                <a:srgbClr val="3A61A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5-BA45-4436-A539-0BDA3DAB0824}"/>
              </c:ext>
            </c:extLst>
          </c:dPt>
          <c:dPt>
            <c:idx val="11"/>
            <c:bubble3D val="0"/>
            <c:spPr>
              <a:solidFill>
                <a:srgbClr val="5F943C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7-BA45-4436-A539-0BDA3DAB0824}"/>
              </c:ext>
            </c:extLst>
          </c:dPt>
          <c:dPt>
            <c:idx val="12"/>
            <c:bubble3D val="0"/>
            <c:spPr>
              <a:solidFill>
                <a:srgbClr val="5694C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9-BA45-4436-A539-0BDA3DAB0824}"/>
              </c:ext>
            </c:extLst>
          </c:dPt>
          <c:dPt>
            <c:idx val="13"/>
            <c:bubble3D val="0"/>
            <c:spPr>
              <a:solidFill>
                <a:srgbClr val="E2772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B-BA45-4436-A539-0BDA3DAB0824}"/>
              </c:ext>
            </c:extLst>
          </c:dPt>
          <c:dPt>
            <c:idx val="14"/>
            <c:bubble3D val="0"/>
            <c:spPr>
              <a:solidFill>
                <a:srgbClr val="9D9D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D-BA45-4436-A539-0BDA3DAB0824}"/>
              </c:ext>
            </c:extLst>
          </c:dPt>
          <c:dPt>
            <c:idx val="15"/>
            <c:bubble3D val="0"/>
            <c:spPr>
              <a:solidFill>
                <a:srgbClr val="F3B7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1F-BA45-4436-A539-0BDA3DAB0824}"/>
              </c:ext>
            </c:extLst>
          </c:dPt>
          <c:dPt>
            <c:idx val="16"/>
            <c:bubble3D val="0"/>
            <c:spPr>
              <a:solidFill>
                <a:srgbClr val="406CB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1-BA45-4436-A539-0BDA3DAB0824}"/>
              </c:ext>
            </c:extLst>
          </c:dPt>
          <c:dPt>
            <c:idx val="17"/>
            <c:bubble3D val="0"/>
            <c:spPr>
              <a:solidFill>
                <a:srgbClr val="6AA543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3-BA45-4436-A539-0BDA3DAB0824}"/>
              </c:ext>
            </c:extLst>
          </c:dPt>
          <c:dPt>
            <c:idx val="18"/>
            <c:bubble3D val="0"/>
            <c:spPr>
              <a:solidFill>
                <a:srgbClr val="7AA8D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5-BA45-4436-A539-0BDA3DAB0824}"/>
              </c:ext>
            </c:extLst>
          </c:dPt>
          <c:dPt>
            <c:idx val="19"/>
            <c:bubble3D val="0"/>
            <c:spPr>
              <a:solidFill>
                <a:srgbClr val="EE916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7-BA45-4436-A539-0BDA3DAB0824}"/>
              </c:ext>
            </c:extLst>
          </c:dPt>
          <c:dPt>
            <c:idx val="20"/>
            <c:bubble3D val="0"/>
            <c:spPr>
              <a:solidFill>
                <a:srgbClr val="B0B0B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9-BA45-4436-A539-0BDA3DAB0824}"/>
              </c:ext>
            </c:extLst>
          </c:dPt>
          <c:dPt>
            <c:idx val="21"/>
            <c:bubble3D val="0"/>
            <c:spPr>
              <a:solidFill>
                <a:srgbClr val="FFC75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B-BA45-4436-A539-0BDA3DAB0824}"/>
              </c:ext>
            </c:extLst>
          </c:dPt>
          <c:dPt>
            <c:idx val="22"/>
            <c:bubble3D val="0"/>
            <c:spPr>
              <a:solidFill>
                <a:srgbClr val="6D89C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D-BA45-4436-A539-0BDA3DAB0824}"/>
              </c:ext>
            </c:extLst>
          </c:dPt>
          <c:dPt>
            <c:idx val="23"/>
            <c:bubble3D val="0"/>
            <c:spPr>
              <a:solidFill>
                <a:srgbClr val="88B76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2F-BA45-4436-A539-0BDA3DAB0824}"/>
              </c:ext>
            </c:extLst>
          </c:dPt>
          <c:dPt>
            <c:idx val="24"/>
            <c:bubble3D val="0"/>
            <c:spPr>
              <a:solidFill>
                <a:srgbClr val="A4C0E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1-BA45-4436-A539-0BDA3DAB0824}"/>
              </c:ext>
            </c:extLst>
          </c:dPt>
          <c:dPt>
            <c:idx val="25"/>
            <c:bubble3D val="0"/>
            <c:spPr>
              <a:solidFill>
                <a:srgbClr val="F2B19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3-BA45-4436-A539-0BDA3DAB0824}"/>
              </c:ext>
            </c:extLst>
          </c:dPt>
          <c:dPt>
            <c:idx val="26"/>
            <c:bubble3D val="0"/>
            <c:spPr>
              <a:solidFill>
                <a:srgbClr val="C5C5C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5-BA45-4436-A539-0BDA3DAB0824}"/>
              </c:ext>
            </c:extLst>
          </c:dPt>
          <c:dPt>
            <c:idx val="27"/>
            <c:bubble3D val="0"/>
            <c:spPr>
              <a:solidFill>
                <a:srgbClr val="FFD59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7-BA45-4436-A539-0BDA3DAB0824}"/>
              </c:ext>
            </c:extLst>
          </c:dPt>
          <c:dPt>
            <c:idx val="28"/>
            <c:bubble3D val="0"/>
            <c:spPr>
              <a:solidFill>
                <a:srgbClr val="9EADD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9-BA45-4436-A539-0BDA3DAB0824}"/>
              </c:ext>
            </c:extLst>
          </c:dPt>
          <c:dPt>
            <c:idx val="29"/>
            <c:bubble3D val="0"/>
            <c:spPr>
              <a:solidFill>
                <a:srgbClr val="ACCA9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B-BA45-4436-A539-0BDA3DAB0824}"/>
              </c:ext>
            </c:extLst>
          </c:dPt>
          <c:dPt>
            <c:idx val="30"/>
            <c:bubble3D val="0"/>
            <c:spPr>
              <a:solidFill>
                <a:srgbClr val="C4D4E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D-BA45-4436-A539-0BDA3DAB0824}"/>
              </c:ext>
            </c:extLst>
          </c:dPt>
          <c:dPt>
            <c:idx val="31"/>
            <c:bubble3D val="0"/>
            <c:spPr>
              <a:solidFill>
                <a:srgbClr val="F6CBB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3F-BA45-4436-A539-0BDA3DAB0824}"/>
              </c:ext>
            </c:extLst>
          </c:dPt>
          <c:dPt>
            <c:idx val="32"/>
            <c:bubble3D val="0"/>
            <c:spPr>
              <a:solidFill>
                <a:srgbClr val="D8D8D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41-BA45-4436-A539-0BDA3DAB0824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1-BA45-4436-A539-0BDA3DAB0824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3-BA45-4436-A539-0BDA3DAB0824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5-BA45-4436-A539-0BDA3DAB0824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7-BA45-4436-A539-0BDA3DAB0824}"/>
                </c:ext>
              </c:extLst>
            </c:dLbl>
            <c:dLbl>
              <c:idx val="4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9-BA45-4436-A539-0BDA3DAB0824}"/>
                </c:ext>
              </c:extLst>
            </c:dLbl>
            <c:dLbl>
              <c:idx val="5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B-BA45-4436-A539-0BDA3DAB0824}"/>
                </c:ext>
              </c:extLst>
            </c:dLbl>
            <c:dLbl>
              <c:idx val="6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D-BA45-4436-A539-0BDA3DAB0824}"/>
                </c:ext>
              </c:extLst>
            </c:dLbl>
            <c:dLbl>
              <c:idx val="7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F-BA45-4436-A539-0BDA3DAB0824}"/>
                </c:ext>
              </c:extLst>
            </c:dLbl>
            <c:dLbl>
              <c:idx val="8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1-BA45-4436-A539-0BDA3DAB0824}"/>
                </c:ext>
              </c:extLst>
            </c:dLbl>
            <c:dLbl>
              <c:idx val="9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3-BA45-4436-A539-0BDA3DAB0824}"/>
                </c:ext>
              </c:extLst>
            </c:dLbl>
            <c:dLbl>
              <c:idx val="1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5-BA45-4436-A539-0BDA3DAB0824}"/>
                </c:ext>
              </c:extLst>
            </c:dLbl>
            <c:dLbl>
              <c:idx val="1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7-BA45-4436-A539-0BDA3DAB0824}"/>
                </c:ext>
              </c:extLst>
            </c:dLbl>
            <c:dLbl>
              <c:idx val="1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9-BA45-4436-A539-0BDA3DAB0824}"/>
                </c:ext>
              </c:extLst>
            </c:dLbl>
            <c:dLbl>
              <c:idx val="13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B-BA45-4436-A539-0BDA3DAB0824}"/>
                </c:ext>
              </c:extLst>
            </c:dLbl>
            <c:dLbl>
              <c:idx val="14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D-BA45-4436-A539-0BDA3DAB0824}"/>
                </c:ext>
              </c:extLst>
            </c:dLbl>
            <c:dLbl>
              <c:idx val="15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1F-BA45-4436-A539-0BDA3DAB0824}"/>
                </c:ext>
              </c:extLst>
            </c:dLbl>
            <c:dLbl>
              <c:idx val="16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1-BA45-4436-A539-0BDA3DAB0824}"/>
                </c:ext>
              </c:extLst>
            </c:dLbl>
            <c:dLbl>
              <c:idx val="17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3-BA45-4436-A539-0BDA3DAB0824}"/>
                </c:ext>
              </c:extLst>
            </c:dLbl>
            <c:dLbl>
              <c:idx val="18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5-BA45-4436-A539-0BDA3DAB0824}"/>
                </c:ext>
              </c:extLst>
            </c:dLbl>
            <c:dLbl>
              <c:idx val="19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7-BA45-4436-A539-0BDA3DAB0824}"/>
                </c:ext>
              </c:extLst>
            </c:dLbl>
            <c:dLbl>
              <c:idx val="2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9-BA45-4436-A539-0BDA3DAB0824}"/>
                </c:ext>
              </c:extLst>
            </c:dLbl>
            <c:dLbl>
              <c:idx val="2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B-BA45-4436-A539-0BDA3DAB0824}"/>
                </c:ext>
              </c:extLst>
            </c:dLbl>
            <c:dLbl>
              <c:idx val="2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D-BA45-4436-A539-0BDA3DAB0824}"/>
                </c:ext>
              </c:extLst>
            </c:dLbl>
            <c:dLbl>
              <c:idx val="23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2F-BA45-4436-A539-0BDA3DAB0824}"/>
                </c:ext>
              </c:extLst>
            </c:dLbl>
            <c:dLbl>
              <c:idx val="24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1-BA45-4436-A539-0BDA3DAB0824}"/>
                </c:ext>
              </c:extLst>
            </c:dLbl>
            <c:dLbl>
              <c:idx val="25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3-BA45-4436-A539-0BDA3DAB0824}"/>
                </c:ext>
              </c:extLst>
            </c:dLbl>
            <c:dLbl>
              <c:idx val="26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5-BA45-4436-A539-0BDA3DAB0824}"/>
                </c:ext>
              </c:extLst>
            </c:dLbl>
            <c:dLbl>
              <c:idx val="27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7-BA45-4436-A539-0BDA3DAB0824}"/>
                </c:ext>
              </c:extLst>
            </c:dLbl>
            <c:dLbl>
              <c:idx val="28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9-BA45-4436-A539-0BDA3DAB0824}"/>
                </c:ext>
              </c:extLst>
            </c:dLbl>
            <c:dLbl>
              <c:idx val="29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B-BA45-4436-A539-0BDA3DAB0824}"/>
                </c:ext>
              </c:extLst>
            </c:dLbl>
            <c:dLbl>
              <c:idx val="3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D-BA45-4436-A539-0BDA3DAB0824}"/>
                </c:ext>
              </c:extLst>
            </c:dLbl>
            <c:dLbl>
              <c:idx val="3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3F-BA45-4436-A539-0BDA3DAB0824}"/>
                </c:ext>
              </c:extLst>
            </c:dLbl>
            <c:dLbl>
              <c:idx val="3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41-BA45-4436-A539-0BDA3DAB08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sk-SK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'minuly tyzden'!$A$10:$A$42</c:f>
              <c:numCache>
                <c:formatCode>General</c:formatCode>
                <c:ptCount val="33"/>
              </c:numCache>
            </c:numRef>
          </c:cat>
          <c:val>
            <c:numRef>
              <c:f>'minuly tyzden'!$B$10:$B$42</c:f>
              <c:numCache>
                <c:formatCode>General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42-BA45-4436-A539-0BDA3DAB0824}"/>
            </c:ext>
          </c:extLst>
        </c:ser>
        <c:ser>
          <c:idx val="1"/>
          <c:order val="1"/>
          <c:tx>
            <c:strRef>
              <c:f>'minuly tyzden'!$C$9</c:f>
              <c:strCache>
                <c:ptCount val="1"/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4372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44-BA45-4436-A539-0BDA3DAB0824}"/>
              </c:ext>
            </c:extLst>
          </c:dPt>
          <c:dPt>
            <c:idx val="1"/>
            <c:bubble3D val="0"/>
            <c:spPr>
              <a:solidFill>
                <a:srgbClr val="AF5C2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46-BA45-4436-A539-0BDA3DAB0824}"/>
              </c:ext>
            </c:extLst>
          </c:dPt>
          <c:dPt>
            <c:idx val="2"/>
            <c:bubble3D val="0"/>
            <c:spPr>
              <a:solidFill>
                <a:srgbClr val="7A7A7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48-BA45-4436-A539-0BDA3DAB0824}"/>
              </c:ext>
            </c:extLst>
          </c:dPt>
          <c:dPt>
            <c:idx val="3"/>
            <c:bubble3D val="0"/>
            <c:spPr>
              <a:solidFill>
                <a:srgbClr val="BC8E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4A-BA45-4436-A539-0BDA3DAB0824}"/>
              </c:ext>
            </c:extLst>
          </c:dPt>
          <c:dPt>
            <c:idx val="4"/>
            <c:bubble3D val="0"/>
            <c:spPr>
              <a:solidFill>
                <a:srgbClr val="325491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4C-BA45-4436-A539-0BDA3DAB0824}"/>
              </c:ext>
            </c:extLst>
          </c:dPt>
          <c:dPt>
            <c:idx val="5"/>
            <c:bubble3D val="0"/>
            <c:spPr>
              <a:solidFill>
                <a:srgbClr val="527F3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4E-BA45-4436-A539-0BDA3DAB0824}"/>
              </c:ext>
            </c:extLst>
          </c:dPt>
          <c:dPt>
            <c:idx val="6"/>
            <c:bubble3D val="0"/>
            <c:spPr>
              <a:solidFill>
                <a:srgbClr val="4D84B6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0-BA45-4436-A539-0BDA3DAB0824}"/>
              </c:ext>
            </c:extLst>
          </c:dPt>
          <c:dPt>
            <c:idx val="7"/>
            <c:bubble3D val="0"/>
            <c:spPr>
              <a:solidFill>
                <a:srgbClr val="CA6B2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2-BA45-4436-A539-0BDA3DAB0824}"/>
              </c:ext>
            </c:extLst>
          </c:dPt>
          <c:dPt>
            <c:idx val="8"/>
            <c:bubble3D val="0"/>
            <c:spPr>
              <a:solidFill>
                <a:srgbClr val="8D8D8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4-BA45-4436-A539-0BDA3DAB0824}"/>
              </c:ext>
            </c:extLst>
          </c:dPt>
          <c:dPt>
            <c:idx val="9"/>
            <c:bubble3D val="0"/>
            <c:spPr>
              <a:solidFill>
                <a:srgbClr val="DAA4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6-BA45-4436-A539-0BDA3DAB0824}"/>
              </c:ext>
            </c:extLst>
          </c:dPt>
          <c:dPt>
            <c:idx val="10"/>
            <c:bubble3D val="0"/>
            <c:spPr>
              <a:solidFill>
                <a:srgbClr val="3A61A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8-BA45-4436-A539-0BDA3DAB0824}"/>
              </c:ext>
            </c:extLst>
          </c:dPt>
          <c:dPt>
            <c:idx val="11"/>
            <c:bubble3D val="0"/>
            <c:spPr>
              <a:solidFill>
                <a:srgbClr val="5F943C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A-BA45-4436-A539-0BDA3DAB0824}"/>
              </c:ext>
            </c:extLst>
          </c:dPt>
          <c:dPt>
            <c:idx val="12"/>
            <c:bubble3D val="0"/>
            <c:spPr>
              <a:solidFill>
                <a:srgbClr val="5694C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C-BA45-4436-A539-0BDA3DAB0824}"/>
              </c:ext>
            </c:extLst>
          </c:dPt>
          <c:dPt>
            <c:idx val="13"/>
            <c:bubble3D val="0"/>
            <c:spPr>
              <a:solidFill>
                <a:srgbClr val="E2772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5E-BA45-4436-A539-0BDA3DAB0824}"/>
              </c:ext>
            </c:extLst>
          </c:dPt>
          <c:dPt>
            <c:idx val="14"/>
            <c:bubble3D val="0"/>
            <c:spPr>
              <a:solidFill>
                <a:srgbClr val="9D9D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0-BA45-4436-A539-0BDA3DAB0824}"/>
              </c:ext>
            </c:extLst>
          </c:dPt>
          <c:dPt>
            <c:idx val="15"/>
            <c:bubble3D val="0"/>
            <c:spPr>
              <a:solidFill>
                <a:srgbClr val="F3B7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2-BA45-4436-A539-0BDA3DAB0824}"/>
              </c:ext>
            </c:extLst>
          </c:dPt>
          <c:dPt>
            <c:idx val="16"/>
            <c:bubble3D val="0"/>
            <c:spPr>
              <a:solidFill>
                <a:srgbClr val="406CB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4-BA45-4436-A539-0BDA3DAB0824}"/>
              </c:ext>
            </c:extLst>
          </c:dPt>
          <c:dPt>
            <c:idx val="17"/>
            <c:bubble3D val="0"/>
            <c:spPr>
              <a:solidFill>
                <a:srgbClr val="6AA543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6-BA45-4436-A539-0BDA3DAB0824}"/>
              </c:ext>
            </c:extLst>
          </c:dPt>
          <c:dPt>
            <c:idx val="18"/>
            <c:bubble3D val="0"/>
            <c:spPr>
              <a:solidFill>
                <a:srgbClr val="7AA8D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8-BA45-4436-A539-0BDA3DAB0824}"/>
              </c:ext>
            </c:extLst>
          </c:dPt>
          <c:dPt>
            <c:idx val="19"/>
            <c:bubble3D val="0"/>
            <c:spPr>
              <a:solidFill>
                <a:srgbClr val="EE916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A-BA45-4436-A539-0BDA3DAB0824}"/>
              </c:ext>
            </c:extLst>
          </c:dPt>
          <c:dPt>
            <c:idx val="20"/>
            <c:bubble3D val="0"/>
            <c:spPr>
              <a:solidFill>
                <a:srgbClr val="B0B0B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C-BA45-4436-A539-0BDA3DAB0824}"/>
              </c:ext>
            </c:extLst>
          </c:dPt>
          <c:dPt>
            <c:idx val="21"/>
            <c:bubble3D val="0"/>
            <c:spPr>
              <a:solidFill>
                <a:srgbClr val="FFC75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6E-BA45-4436-A539-0BDA3DAB0824}"/>
              </c:ext>
            </c:extLst>
          </c:dPt>
          <c:dPt>
            <c:idx val="22"/>
            <c:bubble3D val="0"/>
            <c:spPr>
              <a:solidFill>
                <a:srgbClr val="6D89C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0-BA45-4436-A539-0BDA3DAB0824}"/>
              </c:ext>
            </c:extLst>
          </c:dPt>
          <c:dPt>
            <c:idx val="23"/>
            <c:bubble3D val="0"/>
            <c:spPr>
              <a:solidFill>
                <a:srgbClr val="88B76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2-BA45-4436-A539-0BDA3DAB0824}"/>
              </c:ext>
            </c:extLst>
          </c:dPt>
          <c:dPt>
            <c:idx val="24"/>
            <c:bubble3D val="0"/>
            <c:spPr>
              <a:solidFill>
                <a:srgbClr val="A4C0E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4-BA45-4436-A539-0BDA3DAB0824}"/>
              </c:ext>
            </c:extLst>
          </c:dPt>
          <c:dPt>
            <c:idx val="25"/>
            <c:bubble3D val="0"/>
            <c:spPr>
              <a:solidFill>
                <a:srgbClr val="F2B19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6-BA45-4436-A539-0BDA3DAB0824}"/>
              </c:ext>
            </c:extLst>
          </c:dPt>
          <c:dPt>
            <c:idx val="26"/>
            <c:bubble3D val="0"/>
            <c:spPr>
              <a:solidFill>
                <a:srgbClr val="C5C5C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8-BA45-4436-A539-0BDA3DAB0824}"/>
              </c:ext>
            </c:extLst>
          </c:dPt>
          <c:dPt>
            <c:idx val="27"/>
            <c:bubble3D val="0"/>
            <c:spPr>
              <a:solidFill>
                <a:srgbClr val="FFD59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A-BA45-4436-A539-0BDA3DAB0824}"/>
              </c:ext>
            </c:extLst>
          </c:dPt>
          <c:dPt>
            <c:idx val="28"/>
            <c:bubble3D val="0"/>
            <c:spPr>
              <a:solidFill>
                <a:srgbClr val="9EADD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C-BA45-4436-A539-0BDA3DAB0824}"/>
              </c:ext>
            </c:extLst>
          </c:dPt>
          <c:dPt>
            <c:idx val="29"/>
            <c:bubble3D val="0"/>
            <c:spPr>
              <a:solidFill>
                <a:srgbClr val="ACCA9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7E-BA45-4436-A539-0BDA3DAB0824}"/>
              </c:ext>
            </c:extLst>
          </c:dPt>
          <c:dPt>
            <c:idx val="30"/>
            <c:bubble3D val="0"/>
            <c:spPr>
              <a:solidFill>
                <a:srgbClr val="C4D4E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0-BA45-4436-A539-0BDA3DAB0824}"/>
              </c:ext>
            </c:extLst>
          </c:dPt>
          <c:dPt>
            <c:idx val="31"/>
            <c:bubble3D val="0"/>
            <c:spPr>
              <a:solidFill>
                <a:srgbClr val="F6CBB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2-BA45-4436-A539-0BDA3DAB0824}"/>
              </c:ext>
            </c:extLst>
          </c:dPt>
          <c:dPt>
            <c:idx val="32"/>
            <c:bubble3D val="0"/>
            <c:spPr>
              <a:solidFill>
                <a:srgbClr val="D8D8D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4-BA45-4436-A539-0BDA3DAB0824}"/>
              </c:ext>
            </c:extLst>
          </c:dPt>
          <c:dLbls>
            <c:dLbl>
              <c:idx val="0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44-BA45-4436-A539-0BDA3DAB0824}"/>
                </c:ext>
              </c:extLst>
            </c:dLbl>
            <c:dLbl>
              <c:idx val="1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46-BA45-4436-A539-0BDA3DAB0824}"/>
                </c:ext>
              </c:extLst>
            </c:dLbl>
            <c:dLbl>
              <c:idx val="2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48-BA45-4436-A539-0BDA3DAB0824}"/>
                </c:ext>
              </c:extLst>
            </c:dLbl>
            <c:dLbl>
              <c:idx val="3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4A-BA45-4436-A539-0BDA3DAB0824}"/>
                </c:ext>
              </c:extLst>
            </c:dLbl>
            <c:dLbl>
              <c:idx val="4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4C-BA45-4436-A539-0BDA3DAB0824}"/>
                </c:ext>
              </c:extLst>
            </c:dLbl>
            <c:dLbl>
              <c:idx val="5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4E-BA45-4436-A539-0BDA3DAB0824}"/>
                </c:ext>
              </c:extLst>
            </c:dLbl>
            <c:dLbl>
              <c:idx val="6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0-BA45-4436-A539-0BDA3DAB0824}"/>
                </c:ext>
              </c:extLst>
            </c:dLbl>
            <c:dLbl>
              <c:idx val="7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2-BA45-4436-A539-0BDA3DAB0824}"/>
                </c:ext>
              </c:extLst>
            </c:dLbl>
            <c:dLbl>
              <c:idx val="8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4-BA45-4436-A539-0BDA3DAB0824}"/>
                </c:ext>
              </c:extLst>
            </c:dLbl>
            <c:dLbl>
              <c:idx val="9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6-BA45-4436-A539-0BDA3DAB0824}"/>
                </c:ext>
              </c:extLst>
            </c:dLbl>
            <c:dLbl>
              <c:idx val="10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8-BA45-4436-A539-0BDA3DAB0824}"/>
                </c:ext>
              </c:extLst>
            </c:dLbl>
            <c:dLbl>
              <c:idx val="11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A-BA45-4436-A539-0BDA3DAB0824}"/>
                </c:ext>
              </c:extLst>
            </c:dLbl>
            <c:dLbl>
              <c:idx val="12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C-BA45-4436-A539-0BDA3DAB0824}"/>
                </c:ext>
              </c:extLst>
            </c:dLbl>
            <c:dLbl>
              <c:idx val="13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5E-BA45-4436-A539-0BDA3DAB0824}"/>
                </c:ext>
              </c:extLst>
            </c:dLbl>
            <c:dLbl>
              <c:idx val="14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0-BA45-4436-A539-0BDA3DAB0824}"/>
                </c:ext>
              </c:extLst>
            </c:dLbl>
            <c:dLbl>
              <c:idx val="15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2-BA45-4436-A539-0BDA3DAB0824}"/>
                </c:ext>
              </c:extLst>
            </c:dLbl>
            <c:dLbl>
              <c:idx val="16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4-BA45-4436-A539-0BDA3DAB0824}"/>
                </c:ext>
              </c:extLst>
            </c:dLbl>
            <c:dLbl>
              <c:idx val="17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6-BA45-4436-A539-0BDA3DAB0824}"/>
                </c:ext>
              </c:extLst>
            </c:dLbl>
            <c:dLbl>
              <c:idx val="18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8-BA45-4436-A539-0BDA3DAB0824}"/>
                </c:ext>
              </c:extLst>
            </c:dLbl>
            <c:dLbl>
              <c:idx val="19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A-BA45-4436-A539-0BDA3DAB0824}"/>
                </c:ext>
              </c:extLst>
            </c:dLbl>
            <c:dLbl>
              <c:idx val="20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C-BA45-4436-A539-0BDA3DAB0824}"/>
                </c:ext>
              </c:extLst>
            </c:dLbl>
            <c:dLbl>
              <c:idx val="21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6E-BA45-4436-A539-0BDA3DAB0824}"/>
                </c:ext>
              </c:extLst>
            </c:dLbl>
            <c:dLbl>
              <c:idx val="22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0-BA45-4436-A539-0BDA3DAB0824}"/>
                </c:ext>
              </c:extLst>
            </c:dLbl>
            <c:dLbl>
              <c:idx val="23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2-BA45-4436-A539-0BDA3DAB0824}"/>
                </c:ext>
              </c:extLst>
            </c:dLbl>
            <c:dLbl>
              <c:idx val="24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4-BA45-4436-A539-0BDA3DAB0824}"/>
                </c:ext>
              </c:extLst>
            </c:dLbl>
            <c:dLbl>
              <c:idx val="25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6-BA45-4436-A539-0BDA3DAB0824}"/>
                </c:ext>
              </c:extLst>
            </c:dLbl>
            <c:dLbl>
              <c:idx val="26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8-BA45-4436-A539-0BDA3DAB0824}"/>
                </c:ext>
              </c:extLst>
            </c:dLbl>
            <c:dLbl>
              <c:idx val="27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A-BA45-4436-A539-0BDA3DAB0824}"/>
                </c:ext>
              </c:extLst>
            </c:dLbl>
            <c:dLbl>
              <c:idx val="28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C-BA45-4436-A539-0BDA3DAB0824}"/>
                </c:ext>
              </c:extLst>
            </c:dLbl>
            <c:dLbl>
              <c:idx val="29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7E-BA45-4436-A539-0BDA3DAB0824}"/>
                </c:ext>
              </c:extLst>
            </c:dLbl>
            <c:dLbl>
              <c:idx val="30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80-BA45-4436-A539-0BDA3DAB0824}"/>
                </c:ext>
              </c:extLst>
            </c:dLbl>
            <c:dLbl>
              <c:idx val="31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82-BA45-4436-A539-0BDA3DAB0824}"/>
                </c:ext>
              </c:extLst>
            </c:dLbl>
            <c:dLbl>
              <c:idx val="32"/>
              <c:numFmt formatCode="0%" sourceLinked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84-BA45-4436-A539-0BDA3DAB082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sk-SK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'minuly tyzden'!$A$10:$A$42</c:f>
              <c:numCache>
                <c:formatCode>General</c:formatCode>
                <c:ptCount val="33"/>
              </c:numCache>
            </c:numRef>
          </c:cat>
          <c:val>
            <c:numRef>
              <c:f>'minuly tyzden'!$C$10:$C$42</c:f>
              <c:numCache>
                <c:formatCode>General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85-BA45-4436-A539-0BDA3DAB0824}"/>
            </c:ext>
          </c:extLst>
        </c:ser>
        <c:ser>
          <c:idx val="2"/>
          <c:order val="2"/>
          <c:tx>
            <c:strRef>
              <c:f>'minuly tyzden'!$D$9</c:f>
              <c:strCache>
                <c:ptCount val="1"/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4372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7-BA45-4436-A539-0BDA3DAB0824}"/>
              </c:ext>
            </c:extLst>
          </c:dPt>
          <c:dPt>
            <c:idx val="1"/>
            <c:bubble3D val="0"/>
            <c:spPr>
              <a:solidFill>
                <a:srgbClr val="AF5C2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9-BA45-4436-A539-0BDA3DAB0824}"/>
              </c:ext>
            </c:extLst>
          </c:dPt>
          <c:dPt>
            <c:idx val="2"/>
            <c:bubble3D val="0"/>
            <c:spPr>
              <a:solidFill>
                <a:srgbClr val="7A7A7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B-BA45-4436-A539-0BDA3DAB0824}"/>
              </c:ext>
            </c:extLst>
          </c:dPt>
          <c:dPt>
            <c:idx val="3"/>
            <c:bubble3D val="0"/>
            <c:spPr>
              <a:solidFill>
                <a:srgbClr val="BC8E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D-BA45-4436-A539-0BDA3DAB0824}"/>
              </c:ext>
            </c:extLst>
          </c:dPt>
          <c:dPt>
            <c:idx val="4"/>
            <c:bubble3D val="0"/>
            <c:spPr>
              <a:solidFill>
                <a:srgbClr val="325491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8F-BA45-4436-A539-0BDA3DAB0824}"/>
              </c:ext>
            </c:extLst>
          </c:dPt>
          <c:dPt>
            <c:idx val="5"/>
            <c:bubble3D val="0"/>
            <c:spPr>
              <a:solidFill>
                <a:srgbClr val="527F3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1-BA45-4436-A539-0BDA3DAB0824}"/>
              </c:ext>
            </c:extLst>
          </c:dPt>
          <c:dPt>
            <c:idx val="6"/>
            <c:bubble3D val="0"/>
            <c:spPr>
              <a:solidFill>
                <a:srgbClr val="4D84B6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3-BA45-4436-A539-0BDA3DAB0824}"/>
              </c:ext>
            </c:extLst>
          </c:dPt>
          <c:dPt>
            <c:idx val="7"/>
            <c:bubble3D val="0"/>
            <c:spPr>
              <a:solidFill>
                <a:srgbClr val="CA6B2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5-BA45-4436-A539-0BDA3DAB0824}"/>
              </c:ext>
            </c:extLst>
          </c:dPt>
          <c:dPt>
            <c:idx val="8"/>
            <c:bubble3D val="0"/>
            <c:spPr>
              <a:solidFill>
                <a:srgbClr val="8D8D8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7-BA45-4436-A539-0BDA3DAB0824}"/>
              </c:ext>
            </c:extLst>
          </c:dPt>
          <c:dPt>
            <c:idx val="9"/>
            <c:bubble3D val="0"/>
            <c:spPr>
              <a:solidFill>
                <a:srgbClr val="DAA4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9-BA45-4436-A539-0BDA3DAB0824}"/>
              </c:ext>
            </c:extLst>
          </c:dPt>
          <c:dPt>
            <c:idx val="10"/>
            <c:bubble3D val="0"/>
            <c:spPr>
              <a:solidFill>
                <a:srgbClr val="3A61A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B-BA45-4436-A539-0BDA3DAB0824}"/>
              </c:ext>
            </c:extLst>
          </c:dPt>
          <c:dPt>
            <c:idx val="11"/>
            <c:bubble3D val="0"/>
            <c:spPr>
              <a:solidFill>
                <a:srgbClr val="5F943C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D-BA45-4436-A539-0BDA3DAB0824}"/>
              </c:ext>
            </c:extLst>
          </c:dPt>
          <c:dPt>
            <c:idx val="12"/>
            <c:bubble3D val="0"/>
            <c:spPr>
              <a:solidFill>
                <a:srgbClr val="5694C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9F-BA45-4436-A539-0BDA3DAB0824}"/>
              </c:ext>
            </c:extLst>
          </c:dPt>
          <c:dPt>
            <c:idx val="13"/>
            <c:bubble3D val="0"/>
            <c:spPr>
              <a:solidFill>
                <a:srgbClr val="E2772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1-BA45-4436-A539-0BDA3DAB0824}"/>
              </c:ext>
            </c:extLst>
          </c:dPt>
          <c:dPt>
            <c:idx val="14"/>
            <c:bubble3D val="0"/>
            <c:spPr>
              <a:solidFill>
                <a:srgbClr val="9D9D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3-BA45-4436-A539-0BDA3DAB0824}"/>
              </c:ext>
            </c:extLst>
          </c:dPt>
          <c:dPt>
            <c:idx val="15"/>
            <c:bubble3D val="0"/>
            <c:spPr>
              <a:solidFill>
                <a:srgbClr val="F3B7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5-BA45-4436-A539-0BDA3DAB0824}"/>
              </c:ext>
            </c:extLst>
          </c:dPt>
          <c:dPt>
            <c:idx val="16"/>
            <c:bubble3D val="0"/>
            <c:spPr>
              <a:solidFill>
                <a:srgbClr val="406CB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7-BA45-4436-A539-0BDA3DAB0824}"/>
              </c:ext>
            </c:extLst>
          </c:dPt>
          <c:dPt>
            <c:idx val="17"/>
            <c:bubble3D val="0"/>
            <c:spPr>
              <a:solidFill>
                <a:srgbClr val="6AA543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9-BA45-4436-A539-0BDA3DAB0824}"/>
              </c:ext>
            </c:extLst>
          </c:dPt>
          <c:dPt>
            <c:idx val="18"/>
            <c:bubble3D val="0"/>
            <c:spPr>
              <a:solidFill>
                <a:srgbClr val="7AA8D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B-BA45-4436-A539-0BDA3DAB0824}"/>
              </c:ext>
            </c:extLst>
          </c:dPt>
          <c:dPt>
            <c:idx val="19"/>
            <c:bubble3D val="0"/>
            <c:spPr>
              <a:solidFill>
                <a:srgbClr val="EE916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D-BA45-4436-A539-0BDA3DAB0824}"/>
              </c:ext>
            </c:extLst>
          </c:dPt>
          <c:dPt>
            <c:idx val="20"/>
            <c:bubble3D val="0"/>
            <c:spPr>
              <a:solidFill>
                <a:srgbClr val="B0B0B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AF-BA45-4436-A539-0BDA3DAB0824}"/>
              </c:ext>
            </c:extLst>
          </c:dPt>
          <c:dPt>
            <c:idx val="21"/>
            <c:bubble3D val="0"/>
            <c:spPr>
              <a:solidFill>
                <a:srgbClr val="FFC75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1-BA45-4436-A539-0BDA3DAB0824}"/>
              </c:ext>
            </c:extLst>
          </c:dPt>
          <c:dPt>
            <c:idx val="22"/>
            <c:bubble3D val="0"/>
            <c:spPr>
              <a:solidFill>
                <a:srgbClr val="6D89C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3-BA45-4436-A539-0BDA3DAB0824}"/>
              </c:ext>
            </c:extLst>
          </c:dPt>
          <c:dPt>
            <c:idx val="23"/>
            <c:bubble3D val="0"/>
            <c:spPr>
              <a:solidFill>
                <a:srgbClr val="88B76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5-BA45-4436-A539-0BDA3DAB0824}"/>
              </c:ext>
            </c:extLst>
          </c:dPt>
          <c:dPt>
            <c:idx val="24"/>
            <c:bubble3D val="0"/>
            <c:spPr>
              <a:solidFill>
                <a:srgbClr val="A4C0E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7-BA45-4436-A539-0BDA3DAB0824}"/>
              </c:ext>
            </c:extLst>
          </c:dPt>
          <c:dPt>
            <c:idx val="25"/>
            <c:bubble3D val="0"/>
            <c:spPr>
              <a:solidFill>
                <a:srgbClr val="F2B19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9-BA45-4436-A539-0BDA3DAB0824}"/>
              </c:ext>
            </c:extLst>
          </c:dPt>
          <c:dPt>
            <c:idx val="26"/>
            <c:bubble3D val="0"/>
            <c:spPr>
              <a:solidFill>
                <a:srgbClr val="C5C5C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B-BA45-4436-A539-0BDA3DAB0824}"/>
              </c:ext>
            </c:extLst>
          </c:dPt>
          <c:dPt>
            <c:idx val="27"/>
            <c:bubble3D val="0"/>
            <c:spPr>
              <a:solidFill>
                <a:srgbClr val="FFD59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D-BA45-4436-A539-0BDA3DAB0824}"/>
              </c:ext>
            </c:extLst>
          </c:dPt>
          <c:dPt>
            <c:idx val="28"/>
            <c:bubble3D val="0"/>
            <c:spPr>
              <a:solidFill>
                <a:srgbClr val="9EADD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BF-BA45-4436-A539-0BDA3DAB0824}"/>
              </c:ext>
            </c:extLst>
          </c:dPt>
          <c:dPt>
            <c:idx val="29"/>
            <c:bubble3D val="0"/>
            <c:spPr>
              <a:solidFill>
                <a:srgbClr val="ACCA9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C1-BA45-4436-A539-0BDA3DAB0824}"/>
              </c:ext>
            </c:extLst>
          </c:dPt>
          <c:dPt>
            <c:idx val="30"/>
            <c:bubble3D val="0"/>
            <c:spPr>
              <a:solidFill>
                <a:srgbClr val="C4D4E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C3-BA45-4436-A539-0BDA3DAB0824}"/>
              </c:ext>
            </c:extLst>
          </c:dPt>
          <c:dPt>
            <c:idx val="31"/>
            <c:bubble3D val="0"/>
            <c:spPr>
              <a:solidFill>
                <a:srgbClr val="F6CBB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C5-BA45-4436-A539-0BDA3DAB0824}"/>
              </c:ext>
            </c:extLst>
          </c:dPt>
          <c:dPt>
            <c:idx val="32"/>
            <c:bubble3D val="0"/>
            <c:spPr>
              <a:solidFill>
                <a:srgbClr val="D8D8D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C7-BA45-4436-A539-0BDA3DAB0824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87-BA45-4436-A539-0BDA3DAB0824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89-BA45-4436-A539-0BDA3DAB0824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8B-BA45-4436-A539-0BDA3DAB0824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8D-BA45-4436-A539-0BDA3DAB0824}"/>
                </c:ext>
              </c:extLst>
            </c:dLbl>
            <c:dLbl>
              <c:idx val="4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8F-BA45-4436-A539-0BDA3DAB0824}"/>
                </c:ext>
              </c:extLst>
            </c:dLbl>
            <c:dLbl>
              <c:idx val="5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1-BA45-4436-A539-0BDA3DAB0824}"/>
                </c:ext>
              </c:extLst>
            </c:dLbl>
            <c:dLbl>
              <c:idx val="6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3-BA45-4436-A539-0BDA3DAB0824}"/>
                </c:ext>
              </c:extLst>
            </c:dLbl>
            <c:dLbl>
              <c:idx val="7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5-BA45-4436-A539-0BDA3DAB0824}"/>
                </c:ext>
              </c:extLst>
            </c:dLbl>
            <c:dLbl>
              <c:idx val="8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7-BA45-4436-A539-0BDA3DAB0824}"/>
                </c:ext>
              </c:extLst>
            </c:dLbl>
            <c:dLbl>
              <c:idx val="9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9-BA45-4436-A539-0BDA3DAB0824}"/>
                </c:ext>
              </c:extLst>
            </c:dLbl>
            <c:dLbl>
              <c:idx val="1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B-BA45-4436-A539-0BDA3DAB0824}"/>
                </c:ext>
              </c:extLst>
            </c:dLbl>
            <c:dLbl>
              <c:idx val="1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D-BA45-4436-A539-0BDA3DAB0824}"/>
                </c:ext>
              </c:extLst>
            </c:dLbl>
            <c:dLbl>
              <c:idx val="1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9F-BA45-4436-A539-0BDA3DAB0824}"/>
                </c:ext>
              </c:extLst>
            </c:dLbl>
            <c:dLbl>
              <c:idx val="13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1-BA45-4436-A539-0BDA3DAB0824}"/>
                </c:ext>
              </c:extLst>
            </c:dLbl>
            <c:dLbl>
              <c:idx val="14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3-BA45-4436-A539-0BDA3DAB0824}"/>
                </c:ext>
              </c:extLst>
            </c:dLbl>
            <c:dLbl>
              <c:idx val="15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5-BA45-4436-A539-0BDA3DAB0824}"/>
                </c:ext>
              </c:extLst>
            </c:dLbl>
            <c:dLbl>
              <c:idx val="16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7-BA45-4436-A539-0BDA3DAB0824}"/>
                </c:ext>
              </c:extLst>
            </c:dLbl>
            <c:dLbl>
              <c:idx val="17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9-BA45-4436-A539-0BDA3DAB0824}"/>
                </c:ext>
              </c:extLst>
            </c:dLbl>
            <c:dLbl>
              <c:idx val="18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B-BA45-4436-A539-0BDA3DAB0824}"/>
                </c:ext>
              </c:extLst>
            </c:dLbl>
            <c:dLbl>
              <c:idx val="19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D-BA45-4436-A539-0BDA3DAB0824}"/>
                </c:ext>
              </c:extLst>
            </c:dLbl>
            <c:dLbl>
              <c:idx val="2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AF-BA45-4436-A539-0BDA3DAB0824}"/>
                </c:ext>
              </c:extLst>
            </c:dLbl>
            <c:dLbl>
              <c:idx val="2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1-BA45-4436-A539-0BDA3DAB0824}"/>
                </c:ext>
              </c:extLst>
            </c:dLbl>
            <c:dLbl>
              <c:idx val="2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3-BA45-4436-A539-0BDA3DAB0824}"/>
                </c:ext>
              </c:extLst>
            </c:dLbl>
            <c:dLbl>
              <c:idx val="23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5-BA45-4436-A539-0BDA3DAB0824}"/>
                </c:ext>
              </c:extLst>
            </c:dLbl>
            <c:dLbl>
              <c:idx val="24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7-BA45-4436-A539-0BDA3DAB0824}"/>
                </c:ext>
              </c:extLst>
            </c:dLbl>
            <c:dLbl>
              <c:idx val="25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9-BA45-4436-A539-0BDA3DAB0824}"/>
                </c:ext>
              </c:extLst>
            </c:dLbl>
            <c:dLbl>
              <c:idx val="26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B-BA45-4436-A539-0BDA3DAB0824}"/>
                </c:ext>
              </c:extLst>
            </c:dLbl>
            <c:dLbl>
              <c:idx val="27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D-BA45-4436-A539-0BDA3DAB0824}"/>
                </c:ext>
              </c:extLst>
            </c:dLbl>
            <c:dLbl>
              <c:idx val="28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BF-BA45-4436-A539-0BDA3DAB0824}"/>
                </c:ext>
              </c:extLst>
            </c:dLbl>
            <c:dLbl>
              <c:idx val="29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C1-BA45-4436-A539-0BDA3DAB0824}"/>
                </c:ext>
              </c:extLst>
            </c:dLbl>
            <c:dLbl>
              <c:idx val="30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C3-BA45-4436-A539-0BDA3DAB0824}"/>
                </c:ext>
              </c:extLst>
            </c:dLbl>
            <c:dLbl>
              <c:idx val="31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C5-BA45-4436-A539-0BDA3DAB0824}"/>
                </c:ext>
              </c:extLst>
            </c:dLbl>
            <c:dLbl>
              <c:idx val="32"/>
              <c:spPr/>
              <c:txPr>
                <a:bodyPr wrap="square"/>
                <a:lstStyle/>
                <a:p>
                  <a:pPr>
                    <a:defRPr sz="900" b="0" strike="noStrike" spc="-1">
                      <a:solidFill>
                        <a:srgbClr val="40404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C7-BA45-4436-A539-0BDA3DAB08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sk-SK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'minuly tyzden'!$A$10:$A$42</c:f>
              <c:numCache>
                <c:formatCode>General</c:formatCode>
                <c:ptCount val="33"/>
              </c:numCache>
            </c:numRef>
          </c:cat>
          <c:val>
            <c:numRef>
              <c:f>'minuly tyzden'!$D$10:$D$42</c:f>
              <c:numCache>
                <c:formatCode>General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C8-BA45-4436-A539-0BDA3DAB0824}"/>
            </c:ext>
          </c:extLst>
        </c:ser>
        <c:ser>
          <c:idx val="3"/>
          <c:order val="3"/>
          <c:tx>
            <c:strRef>
              <c:f>'minuly tyzden'!$E$9</c:f>
              <c:strCache>
                <c:ptCount val="1"/>
              </c:strCache>
            </c:strRef>
          </c:tx>
          <c:spPr>
            <a:solidFill>
              <a:srgbClr val="FFC000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4372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CA-BA45-4436-A539-0BDA3DAB0824}"/>
              </c:ext>
            </c:extLst>
          </c:dPt>
          <c:dPt>
            <c:idx val="1"/>
            <c:bubble3D val="0"/>
            <c:spPr>
              <a:solidFill>
                <a:srgbClr val="AF5C2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CC-BA45-4436-A539-0BDA3DAB0824}"/>
              </c:ext>
            </c:extLst>
          </c:dPt>
          <c:dPt>
            <c:idx val="2"/>
            <c:bubble3D val="0"/>
            <c:spPr>
              <a:solidFill>
                <a:srgbClr val="7A7A7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CE-BA45-4436-A539-0BDA3DAB0824}"/>
              </c:ext>
            </c:extLst>
          </c:dPt>
          <c:dPt>
            <c:idx val="3"/>
            <c:bubble3D val="0"/>
            <c:spPr>
              <a:solidFill>
                <a:srgbClr val="BC8E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0-BA45-4436-A539-0BDA3DAB0824}"/>
              </c:ext>
            </c:extLst>
          </c:dPt>
          <c:dPt>
            <c:idx val="4"/>
            <c:bubble3D val="0"/>
            <c:spPr>
              <a:solidFill>
                <a:srgbClr val="325491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2-BA45-4436-A539-0BDA3DAB0824}"/>
              </c:ext>
            </c:extLst>
          </c:dPt>
          <c:dPt>
            <c:idx val="5"/>
            <c:bubble3D val="0"/>
            <c:spPr>
              <a:solidFill>
                <a:srgbClr val="527F3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4-BA45-4436-A539-0BDA3DAB0824}"/>
              </c:ext>
            </c:extLst>
          </c:dPt>
          <c:dPt>
            <c:idx val="6"/>
            <c:bubble3D val="0"/>
            <c:spPr>
              <a:solidFill>
                <a:srgbClr val="4D84B6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6-BA45-4436-A539-0BDA3DAB0824}"/>
              </c:ext>
            </c:extLst>
          </c:dPt>
          <c:dPt>
            <c:idx val="7"/>
            <c:bubble3D val="0"/>
            <c:spPr>
              <a:solidFill>
                <a:srgbClr val="CA6B2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8-BA45-4436-A539-0BDA3DAB0824}"/>
              </c:ext>
            </c:extLst>
          </c:dPt>
          <c:dPt>
            <c:idx val="8"/>
            <c:bubble3D val="0"/>
            <c:spPr>
              <a:solidFill>
                <a:srgbClr val="8D8D8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A-BA45-4436-A539-0BDA3DAB0824}"/>
              </c:ext>
            </c:extLst>
          </c:dPt>
          <c:dPt>
            <c:idx val="9"/>
            <c:bubble3D val="0"/>
            <c:spPr>
              <a:solidFill>
                <a:srgbClr val="DAA4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C-BA45-4436-A539-0BDA3DAB0824}"/>
              </c:ext>
            </c:extLst>
          </c:dPt>
          <c:dPt>
            <c:idx val="10"/>
            <c:bubble3D val="0"/>
            <c:spPr>
              <a:solidFill>
                <a:srgbClr val="3A61A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DE-BA45-4436-A539-0BDA3DAB0824}"/>
              </c:ext>
            </c:extLst>
          </c:dPt>
          <c:dPt>
            <c:idx val="11"/>
            <c:bubble3D val="0"/>
            <c:spPr>
              <a:solidFill>
                <a:srgbClr val="5F943C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0-BA45-4436-A539-0BDA3DAB0824}"/>
              </c:ext>
            </c:extLst>
          </c:dPt>
          <c:dPt>
            <c:idx val="12"/>
            <c:bubble3D val="0"/>
            <c:spPr>
              <a:solidFill>
                <a:srgbClr val="5694C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2-BA45-4436-A539-0BDA3DAB0824}"/>
              </c:ext>
            </c:extLst>
          </c:dPt>
          <c:dPt>
            <c:idx val="13"/>
            <c:bubble3D val="0"/>
            <c:spPr>
              <a:solidFill>
                <a:srgbClr val="E2772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4-BA45-4436-A539-0BDA3DAB0824}"/>
              </c:ext>
            </c:extLst>
          </c:dPt>
          <c:dPt>
            <c:idx val="14"/>
            <c:bubble3D val="0"/>
            <c:spPr>
              <a:solidFill>
                <a:srgbClr val="9D9D9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6-BA45-4436-A539-0BDA3DAB0824}"/>
              </c:ext>
            </c:extLst>
          </c:dPt>
          <c:dPt>
            <c:idx val="15"/>
            <c:bubble3D val="0"/>
            <c:spPr>
              <a:solidFill>
                <a:srgbClr val="F3B7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8-BA45-4436-A539-0BDA3DAB0824}"/>
              </c:ext>
            </c:extLst>
          </c:dPt>
          <c:dPt>
            <c:idx val="16"/>
            <c:bubble3D val="0"/>
            <c:spPr>
              <a:solidFill>
                <a:srgbClr val="406CB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A-BA45-4436-A539-0BDA3DAB0824}"/>
              </c:ext>
            </c:extLst>
          </c:dPt>
          <c:dPt>
            <c:idx val="17"/>
            <c:bubble3D val="0"/>
            <c:spPr>
              <a:solidFill>
                <a:srgbClr val="6AA543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C-BA45-4436-A539-0BDA3DAB0824}"/>
              </c:ext>
            </c:extLst>
          </c:dPt>
          <c:dPt>
            <c:idx val="18"/>
            <c:bubble3D val="0"/>
            <c:spPr>
              <a:solidFill>
                <a:srgbClr val="7AA8D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EE-BA45-4436-A539-0BDA3DAB0824}"/>
              </c:ext>
            </c:extLst>
          </c:dPt>
          <c:dPt>
            <c:idx val="19"/>
            <c:bubble3D val="0"/>
            <c:spPr>
              <a:solidFill>
                <a:srgbClr val="EE916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0-BA45-4436-A539-0BDA3DAB0824}"/>
              </c:ext>
            </c:extLst>
          </c:dPt>
          <c:dPt>
            <c:idx val="20"/>
            <c:bubble3D val="0"/>
            <c:spPr>
              <a:solidFill>
                <a:srgbClr val="B0B0B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2-BA45-4436-A539-0BDA3DAB0824}"/>
              </c:ext>
            </c:extLst>
          </c:dPt>
          <c:dPt>
            <c:idx val="21"/>
            <c:bubble3D val="0"/>
            <c:spPr>
              <a:solidFill>
                <a:srgbClr val="FFC75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4-BA45-4436-A539-0BDA3DAB0824}"/>
              </c:ext>
            </c:extLst>
          </c:dPt>
          <c:dPt>
            <c:idx val="22"/>
            <c:bubble3D val="0"/>
            <c:spPr>
              <a:solidFill>
                <a:srgbClr val="6D89C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6-BA45-4436-A539-0BDA3DAB0824}"/>
              </c:ext>
            </c:extLst>
          </c:dPt>
          <c:dPt>
            <c:idx val="23"/>
            <c:bubble3D val="0"/>
            <c:spPr>
              <a:solidFill>
                <a:srgbClr val="88B76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8-BA45-4436-A539-0BDA3DAB0824}"/>
              </c:ext>
            </c:extLst>
          </c:dPt>
          <c:dPt>
            <c:idx val="24"/>
            <c:bubble3D val="0"/>
            <c:spPr>
              <a:solidFill>
                <a:srgbClr val="A4C0E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A-BA45-4436-A539-0BDA3DAB0824}"/>
              </c:ext>
            </c:extLst>
          </c:dPt>
          <c:dPt>
            <c:idx val="25"/>
            <c:bubble3D val="0"/>
            <c:spPr>
              <a:solidFill>
                <a:srgbClr val="F2B19A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C-BA45-4436-A539-0BDA3DAB0824}"/>
              </c:ext>
            </c:extLst>
          </c:dPt>
          <c:dPt>
            <c:idx val="26"/>
            <c:bubble3D val="0"/>
            <c:spPr>
              <a:solidFill>
                <a:srgbClr val="C5C5C5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FE-BA45-4436-A539-0BDA3DAB0824}"/>
              </c:ext>
            </c:extLst>
          </c:dPt>
          <c:dPt>
            <c:idx val="27"/>
            <c:bubble3D val="0"/>
            <c:spPr>
              <a:solidFill>
                <a:srgbClr val="FFD59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100-BA45-4436-A539-0BDA3DAB0824}"/>
              </c:ext>
            </c:extLst>
          </c:dPt>
          <c:dPt>
            <c:idx val="28"/>
            <c:bubble3D val="0"/>
            <c:spPr>
              <a:solidFill>
                <a:srgbClr val="9EADD7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102-BA45-4436-A539-0BDA3DAB0824}"/>
              </c:ext>
            </c:extLst>
          </c:dPt>
          <c:dPt>
            <c:idx val="29"/>
            <c:bubble3D val="0"/>
            <c:spPr>
              <a:solidFill>
                <a:srgbClr val="ACCA9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104-BA45-4436-A539-0BDA3DAB0824}"/>
              </c:ext>
            </c:extLst>
          </c:dPt>
          <c:dPt>
            <c:idx val="30"/>
            <c:bubble3D val="0"/>
            <c:spPr>
              <a:solidFill>
                <a:srgbClr val="C4D4E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106-BA45-4436-A539-0BDA3DAB0824}"/>
              </c:ext>
            </c:extLst>
          </c:dPt>
          <c:dPt>
            <c:idx val="31"/>
            <c:bubble3D val="0"/>
            <c:spPr>
              <a:solidFill>
                <a:srgbClr val="F6CBBE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108-BA45-4436-A539-0BDA3DAB0824}"/>
              </c:ext>
            </c:extLst>
          </c:dPt>
          <c:dPt>
            <c:idx val="32"/>
            <c:bubble3D val="0"/>
            <c:spPr>
              <a:solidFill>
                <a:srgbClr val="D8D8D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10A-BA45-4436-A539-0BDA3DAB0824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CA-BA45-4436-A539-0BDA3DAB0824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CC-BA45-4436-A539-0BDA3DAB0824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CE-BA45-4436-A539-0BDA3DAB0824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0-BA45-4436-A539-0BDA3DAB0824}"/>
                </c:ext>
              </c:extLst>
            </c:dLbl>
            <c:dLbl>
              <c:idx val="4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2-BA45-4436-A539-0BDA3DAB0824}"/>
                </c:ext>
              </c:extLst>
            </c:dLbl>
            <c:dLbl>
              <c:idx val="5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4-BA45-4436-A539-0BDA3DAB0824}"/>
                </c:ext>
              </c:extLst>
            </c:dLbl>
            <c:dLbl>
              <c:idx val="6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6-BA45-4436-A539-0BDA3DAB0824}"/>
                </c:ext>
              </c:extLst>
            </c:dLbl>
            <c:dLbl>
              <c:idx val="7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8-BA45-4436-A539-0BDA3DAB0824}"/>
                </c:ext>
              </c:extLst>
            </c:dLbl>
            <c:dLbl>
              <c:idx val="8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A-BA45-4436-A539-0BDA3DAB0824}"/>
                </c:ext>
              </c:extLst>
            </c:dLbl>
            <c:dLbl>
              <c:idx val="9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C-BA45-4436-A539-0BDA3DAB0824}"/>
                </c:ext>
              </c:extLst>
            </c:dLbl>
            <c:dLbl>
              <c:idx val="1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DE-BA45-4436-A539-0BDA3DAB0824}"/>
                </c:ext>
              </c:extLst>
            </c:dLbl>
            <c:dLbl>
              <c:idx val="1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0-BA45-4436-A539-0BDA3DAB0824}"/>
                </c:ext>
              </c:extLst>
            </c:dLbl>
            <c:dLbl>
              <c:idx val="12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2-BA45-4436-A539-0BDA3DAB0824}"/>
                </c:ext>
              </c:extLst>
            </c:dLbl>
            <c:dLbl>
              <c:idx val="13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4-BA45-4436-A539-0BDA3DAB0824}"/>
                </c:ext>
              </c:extLst>
            </c:dLbl>
            <c:dLbl>
              <c:idx val="14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6-BA45-4436-A539-0BDA3DAB0824}"/>
                </c:ext>
              </c:extLst>
            </c:dLbl>
            <c:dLbl>
              <c:idx val="15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8-BA45-4436-A539-0BDA3DAB0824}"/>
                </c:ext>
              </c:extLst>
            </c:dLbl>
            <c:dLbl>
              <c:idx val="16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A-BA45-4436-A539-0BDA3DAB0824}"/>
                </c:ext>
              </c:extLst>
            </c:dLbl>
            <c:dLbl>
              <c:idx val="17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C-BA45-4436-A539-0BDA3DAB0824}"/>
                </c:ext>
              </c:extLst>
            </c:dLbl>
            <c:dLbl>
              <c:idx val="18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EE-BA45-4436-A539-0BDA3DAB0824}"/>
                </c:ext>
              </c:extLst>
            </c:dLbl>
            <c:dLbl>
              <c:idx val="19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0-BA45-4436-A539-0BDA3DAB0824}"/>
                </c:ext>
              </c:extLst>
            </c:dLbl>
            <c:dLbl>
              <c:idx val="2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2-BA45-4436-A539-0BDA3DAB0824}"/>
                </c:ext>
              </c:extLst>
            </c:dLbl>
            <c:dLbl>
              <c:idx val="2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4-BA45-4436-A539-0BDA3DAB0824}"/>
                </c:ext>
              </c:extLst>
            </c:dLbl>
            <c:dLbl>
              <c:idx val="22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6-BA45-4436-A539-0BDA3DAB0824}"/>
                </c:ext>
              </c:extLst>
            </c:dLbl>
            <c:dLbl>
              <c:idx val="23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8-BA45-4436-A539-0BDA3DAB0824}"/>
                </c:ext>
              </c:extLst>
            </c:dLbl>
            <c:dLbl>
              <c:idx val="24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A-BA45-4436-A539-0BDA3DAB0824}"/>
                </c:ext>
              </c:extLst>
            </c:dLbl>
            <c:dLbl>
              <c:idx val="25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C-BA45-4436-A539-0BDA3DAB0824}"/>
                </c:ext>
              </c:extLst>
            </c:dLbl>
            <c:dLbl>
              <c:idx val="26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FE-BA45-4436-A539-0BDA3DAB0824}"/>
                </c:ext>
              </c:extLst>
            </c:dLbl>
            <c:dLbl>
              <c:idx val="27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100-BA45-4436-A539-0BDA3DAB0824}"/>
                </c:ext>
              </c:extLst>
            </c:dLbl>
            <c:dLbl>
              <c:idx val="28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102-BA45-4436-A539-0BDA3DAB0824}"/>
                </c:ext>
              </c:extLst>
            </c:dLbl>
            <c:dLbl>
              <c:idx val="29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104-BA45-4436-A539-0BDA3DAB0824}"/>
                </c:ext>
              </c:extLst>
            </c:dLbl>
            <c:dLbl>
              <c:idx val="3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106-BA45-4436-A539-0BDA3DAB0824}"/>
                </c:ext>
              </c:extLst>
            </c:dLbl>
            <c:dLbl>
              <c:idx val="3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108-BA45-4436-A539-0BDA3DAB0824}"/>
                </c:ext>
              </c:extLst>
            </c:dLbl>
            <c:dLbl>
              <c:idx val="32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sk-SK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10A-BA45-4436-A539-0BDA3DAB08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sk-SK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'minuly tyzden'!$A$10:$A$42</c:f>
              <c:numCache>
                <c:formatCode>General</c:formatCode>
                <c:ptCount val="33"/>
              </c:numCache>
            </c:numRef>
          </c:cat>
          <c:val>
            <c:numRef>
              <c:f>'minuly tyzden'!$E$10:$E$42</c:f>
              <c:numCache>
                <c:formatCode>General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10B-BA45-4436-A539-0BDA3DAB0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900" b="0" strike="noStrike" spc="-1">
              <a:solidFill>
                <a:srgbClr val="595959"/>
              </a:solidFill>
              <a:latin typeface="Calibri"/>
            </a:defRPr>
          </a:pPr>
          <a:endParaRPr lang="sk-SK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76200</xdr:rowOff>
        </xdr:from>
        <xdr:to>
          <xdr:col>1</xdr:col>
          <xdr:colOff>-8667750</xdr:colOff>
          <xdr:row>1</xdr:row>
          <xdr:rowOff>-57150</xdr:rowOff>
        </xdr:to>
        <xdr:sp macro="" textlink="">
          <xdr:nvSpPr>
            <xdr:cNvPr id="1001" name="CommandButton1" descr="IMPORT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76200</xdr:rowOff>
        </xdr:from>
        <xdr:to>
          <xdr:col>1</xdr:col>
          <xdr:colOff>8667750</xdr:colOff>
          <xdr:row>1</xdr:row>
          <xdr:rowOff>57150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314640</xdr:colOff>
      <xdr:row>8</xdr:row>
      <xdr:rowOff>74880</xdr:rowOff>
    </xdr:from>
    <xdr:to>
      <xdr:col>19</xdr:col>
      <xdr:colOff>4680</xdr:colOff>
      <xdr:row>31</xdr:row>
      <xdr:rowOff>134640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345240</xdr:colOff>
      <xdr:row>0</xdr:row>
      <xdr:rowOff>68040</xdr:rowOff>
    </xdr:from>
    <xdr:to>
      <xdr:col>6</xdr:col>
      <xdr:colOff>191160</xdr:colOff>
      <xdr:row>7</xdr:row>
      <xdr:rowOff>105840</xdr:rowOff>
    </xdr:to>
    <xdr:sp macro="" textlink="">
      <xdr:nvSpPr>
        <xdr:cNvPr id="3" name="Obdĺžn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084920" y="68040"/>
          <a:ext cx="3535200" cy="137124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sk-SK" sz="1100" b="0" strike="noStrike" spc="-1">
              <a:latin typeface="Times New Roman"/>
            </a:rPr>
            <a:t>Timeline: Works in Excel 2013 or higher. Do not move or resize.</a:t>
          </a:r>
          <a:endParaRPr lang="en-US" sz="1100" b="0" strike="noStrike" spc="-1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O681" totalsRowShown="0">
  <autoFilter ref="A1:AO681" xr:uid="{00000000-0009-0000-0100-000001000000}"/>
  <tableColumns count="41">
    <tableColumn id="1" xr3:uid="{00000000-0010-0000-0000-000001000000}" name="WEEK"/>
    <tableColumn id="2" xr3:uid="{00000000-0010-0000-0000-000002000000}" name="CLIENT"/>
    <tableColumn id="3" xr3:uid="{00000000-0010-0000-0000-000003000000}" name="LOADING CTR"/>
    <tableColumn id="4" xr3:uid="{00000000-0010-0000-0000-000004000000}" name="LOADING ZIP"/>
    <tableColumn id="5" xr3:uid="{00000000-0010-0000-0000-000005000000}" name="LOADING CITY"/>
    <tableColumn id="6" xr3:uid="{00000000-0010-0000-0000-000006000000}" name="LOADING DATE"/>
    <tableColumn id="7" xr3:uid="{00000000-0010-0000-0000-000007000000}" name="LOADING TIME"/>
    <tableColumn id="8" xr3:uid="{00000000-0010-0000-0000-000008000000}" name="DELIVERY CTR"/>
    <tableColumn id="9" xr3:uid="{00000000-0010-0000-0000-000009000000}" name="DELIVERY ZIP"/>
    <tableColumn id="10" xr3:uid="{00000000-0010-0000-0000-00000A000000}" name="DELIVERY CITY"/>
    <tableColumn id="11" xr3:uid="{00000000-0010-0000-0000-00000B000000}" name="DELIVERY DATE"/>
    <tableColumn id="12" xr3:uid="{00000000-0010-0000-0000-00000C000000}" name="DELIVERY TIME"/>
    <tableColumn id="13" xr3:uid="{00000000-0010-0000-0000-00000D000000}" name="BOOKING REFERENCE"/>
    <tableColumn id="14" xr3:uid="{00000000-0010-0000-0000-00000E000000}" name="TRUCK TYPE"/>
    <tableColumn id="15" xr3:uid="{00000000-0010-0000-0000-00000F000000}" name="LTL / FTL"/>
    <tableColumn id="16" xr3:uid="{00000000-0010-0000-0000-000010000000}" name="GROSS WEIGHT [KG]"/>
    <tableColumn id="17" xr3:uid="{00000000-0010-0000-0000-000011000000}" name="TRUCK PLATES"/>
    <tableColumn id="18" xr3:uid="{00000000-0010-0000-0000-000012000000}" name="CARRIER"/>
    <tableColumn id="19" xr3:uid="{00000000-0010-0000-0000-000013000000}" name="SALES [€]"/>
    <tableColumn id="20" xr3:uid="{00000000-0010-0000-0000-000014000000}" name="PURCHASE [€]"/>
    <tableColumn id="21" xr3:uid="{00000000-0010-0000-0000-000015000000}" name="MARGIN [€]"/>
    <tableColumn id="22" xr3:uid="{00000000-0010-0000-0000-000016000000}" name="MARGIN [%]"/>
    <tableColumn id="23" xr3:uid="{00000000-0010-0000-0000-000017000000}" name="CF"/>
    <tableColumn id="24" xr3:uid="{00000000-0010-0000-0000-000018000000}" name="VF"/>
    <tableColumn id="25" xr3:uid="{00000000-0010-0000-0000-000019000000}" name="KM"/>
    <tableColumn id="26" xr3:uid="{00000000-0010-0000-0000-00001A000000}" name="REMARK"/>
    <tableColumn id="27" xr3:uid="{00000000-0010-0000-0000-00001B000000}" name="PIC"/>
    <tableColumn id="28" xr3:uid="{00000000-0010-0000-0000-00001C000000}" name="PURCHASE [€/KM]"/>
    <tableColumn id="29" xr3:uid="{00000000-0010-0000-0000-00001D000000}" name="SALES [€/KM]"/>
    <tableColumn id="30" xr3:uid="{00000000-0010-0000-0000-00001E000000}" name="COLLI [KS]"/>
    <tableColumn id="31" xr3:uid="{00000000-0010-0000-0000-00001F000000}" name="LDM"/>
    <tableColumn id="32" xr3:uid="{00000000-0010-0000-0000-000020000000}" name="DEMURRAGE COST / CLIENT"/>
    <tableColumn id="33" xr3:uid="{00000000-0010-0000-0000-000021000000}" name="DEMURRAGE COST / HAULIER"/>
    <tableColumn id="34" xr3:uid="{00000000-0010-0000-0000-000022000000}" name="CLIENT PENALTIES"/>
    <tableColumn id="35" xr3:uid="{00000000-0010-0000-0000-000023000000}" name=" HAULIER PENALTIES"/>
    <tableColumn id="36" xr3:uid="{00000000-0010-0000-0000-000024000000}" name="NC/R"/>
    <tableColumn id="37" xr3:uid="{00000000-0010-0000-0000-000025000000}" name="# LOADINGS"/>
    <tableColumn id="38" xr3:uid="{00000000-0010-0000-0000-000026000000}" name="START STATUS"/>
    <tableColumn id="39" xr3:uid="{00000000-0010-0000-0000-000027000000}" name="# UNLOADINGS"/>
    <tableColumn id="40" xr3:uid="{00000000-0010-0000-0000-000028000000}" name="STOP STATUS"/>
    <tableColumn id="41" xr3:uid="{00000000-0010-0000-0000-000029000000}" name="TRAILER PLAT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../plachty%202023/Peto%20Tomi%20Plachta%202023.xlsx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../plachty%202023/Katka%20plachta%202023.xlsx" TargetMode="External"/><Relationship Id="rId1" Type="http://schemas.openxmlformats.org/officeDocument/2006/relationships/hyperlink" Target="../plachty%202023/Evka%20plachta%202023.xlsx" TargetMode="External"/><Relationship Id="rId6" Type="http://schemas.openxmlformats.org/officeDocument/2006/relationships/hyperlink" Target="../plachty%202023/Adka%20plachta%202023.xlsx" TargetMode="External"/><Relationship Id="rId5" Type="http://schemas.openxmlformats.org/officeDocument/2006/relationships/hyperlink" Target="../plachty%202023/Miro%20plachta%202023.xlsx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../plachty%202023/Majka%20Plachta%202023.xlsx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2"/>
  <sheetViews>
    <sheetView zoomScale="160" zoomScaleNormal="160" workbookViewId="0">
      <selection activeCell="A20" sqref="A20"/>
    </sheetView>
  </sheetViews>
  <sheetFormatPr defaultColWidth="8.7109375" defaultRowHeight="15" x14ac:dyDescent="0.25"/>
  <cols>
    <col min="1" max="1" width="149.42578125" customWidth="1"/>
  </cols>
  <sheetData>
    <row r="1" spans="1:2" ht="62.25" customHeight="1" x14ac:dyDescent="0.25"/>
    <row r="2" spans="1:2" x14ac:dyDescent="0.25">
      <c r="A2" s="2" t="s">
        <v>0</v>
      </c>
    </row>
    <row r="3" spans="1:2" x14ac:dyDescent="0.25">
      <c r="A3" s="2" t="s">
        <v>1</v>
      </c>
    </row>
    <row r="4" spans="1:2" x14ac:dyDescent="0.25">
      <c r="A4" s="2" t="s">
        <v>2</v>
      </c>
    </row>
    <row r="5" spans="1:2" x14ac:dyDescent="0.25">
      <c r="A5" s="2" t="s">
        <v>3</v>
      </c>
    </row>
    <row r="6" spans="1:2" x14ac:dyDescent="0.25">
      <c r="A6" s="2" t="s">
        <v>4</v>
      </c>
    </row>
    <row r="7" spans="1:2" x14ac:dyDescent="0.25">
      <c r="A7" s="2" t="s">
        <v>5</v>
      </c>
    </row>
    <row r="9" spans="1:2" x14ac:dyDescent="0.25">
      <c r="B9" s="3"/>
    </row>
    <row r="22" spans="6:6" x14ac:dyDescent="0.25">
      <c r="F22" t="s">
        <v>6</v>
      </c>
    </row>
  </sheetData>
  <hyperlinks>
    <hyperlink ref="A2" r:id="rId1" xr:uid="{00000000-0004-0000-0000-000000000000}"/>
    <hyperlink ref="A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</hyperlinks>
  <pageMargins left="0.7" right="0.7" top="0.75" bottom="0.75" header="0.511811023622047" footer="0.511811023622047"/>
  <pageSetup paperSize="9" orientation="portrait" horizontalDpi="300" verticalDpi="300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shape_0">
              <controlPr defaultSize="0" autoPict="0">
                <anchor moveWithCells="1" sizeWithCells="1">
                  <from>
                    <xdr:col>0</xdr:col>
                    <xdr:colOff>57150</xdr:colOff>
                    <xdr:row>0</xdr:row>
                    <xdr:rowOff>76200</xdr:rowOff>
                  </from>
                  <to>
                    <xdr:col>1</xdr:col>
                    <xdr:colOff>8667750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0" name="CommandButton1">
              <controlPr defaultSize="0" autoFill="0" autoPict="0" altText="IMPORT">
                <anchor moveWithCells="1">
                  <from>
                    <xdr:col>0</xdr:col>
                    <xdr:colOff>57150</xdr:colOff>
                    <xdr:row>0</xdr:row>
                    <xdr:rowOff>76200</xdr:rowOff>
                  </from>
                  <to>
                    <xdr:col>1</xdr:col>
                    <xdr:colOff>-8667750</xdr:colOff>
                    <xdr:row>1</xdr:row>
                    <xdr:rowOff>-57150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O1473"/>
  <sheetViews>
    <sheetView tabSelected="1" topLeftCell="B661" zoomScaleNormal="100" workbookViewId="0">
      <selection activeCell="H342" sqref="H342"/>
    </sheetView>
  </sheetViews>
  <sheetFormatPr defaultColWidth="8.7109375" defaultRowHeight="15" x14ac:dyDescent="0.25"/>
  <cols>
    <col min="1" max="1" width="7.5703125" style="4" customWidth="1"/>
    <col min="2" max="2" width="22.7109375" customWidth="1"/>
    <col min="3" max="3" width="13.7109375" customWidth="1"/>
    <col min="4" max="4" width="13.140625" style="5" customWidth="1"/>
    <col min="5" max="5" width="14.85546875" customWidth="1"/>
    <col min="6" max="6" width="14.85546875" style="6" customWidth="1"/>
    <col min="7" max="7" width="16.85546875" style="7" customWidth="1"/>
    <col min="8" max="8" width="6.28515625" customWidth="1"/>
    <col min="9" max="9" width="7.42578125" style="5" customWidth="1"/>
    <col min="10" max="10" width="16.28515625" customWidth="1"/>
    <col min="11" max="11" width="14.85546875" style="6" customWidth="1"/>
    <col min="12" max="12" width="13" style="3" customWidth="1"/>
    <col min="13" max="13" width="15" style="5" customWidth="1"/>
    <col min="14" max="14" width="10.28515625" style="5" customWidth="1"/>
    <col min="15" max="15" width="5.5703125" style="8" customWidth="1"/>
    <col min="16" max="16" width="8.140625" customWidth="1"/>
    <col min="17" max="17" width="18.140625" customWidth="1"/>
    <col min="18" max="18" width="22.28515625" style="5" customWidth="1"/>
    <col min="19" max="19" width="15.140625" style="9" customWidth="1"/>
    <col min="20" max="20" width="13.85546875" style="9" customWidth="1"/>
    <col min="21" max="21" width="12.28515625" style="9" customWidth="1"/>
    <col min="22" max="22" width="12.5703125" style="10" customWidth="1"/>
    <col min="23" max="23" width="64.42578125" style="5" customWidth="1"/>
    <col min="24" max="24" width="24.28515625" style="5" customWidth="1"/>
    <col min="25" max="25" width="6" style="4" customWidth="1"/>
    <col min="26" max="26" width="52.140625" customWidth="1"/>
    <col min="27" max="27" width="5.5703125" customWidth="1"/>
    <col min="28" max="28" width="34.42578125" style="3" customWidth="1"/>
    <col min="29" max="29" width="13.7109375" style="3" customWidth="1"/>
    <col min="30" max="30" width="11" customWidth="1"/>
    <col min="31" max="31" width="7.5703125" style="3" customWidth="1"/>
    <col min="32" max="32" width="24.42578125" customWidth="1"/>
    <col min="33" max="33" width="25.7109375" customWidth="1"/>
    <col min="34" max="34" width="17" customWidth="1"/>
    <col min="35" max="35" width="18.7109375" customWidth="1"/>
    <col min="36" max="36" width="7.28515625" customWidth="1"/>
    <col min="37" max="37" width="12.5703125" customWidth="1"/>
    <col min="38" max="38" width="39.85546875" customWidth="1"/>
    <col min="39" max="39" width="15.7109375" customWidth="1"/>
    <col min="40" max="40" width="13.28515625" customWidth="1"/>
    <col min="41" max="41" width="15.28515625" customWidth="1"/>
  </cols>
  <sheetData>
    <row r="1" spans="1:41" ht="39" x14ac:dyDescent="0.25">
      <c r="A1" s="11" t="s">
        <v>7</v>
      </c>
      <c r="B1" s="12" t="s">
        <v>8</v>
      </c>
      <c r="C1" s="13" t="s">
        <v>9</v>
      </c>
      <c r="D1" s="14" t="s">
        <v>10</v>
      </c>
      <c r="E1" s="15" t="s">
        <v>11</v>
      </c>
      <c r="F1" s="13" t="s">
        <v>12</v>
      </c>
      <c r="G1" s="16" t="s">
        <v>13</v>
      </c>
      <c r="H1" s="13" t="s">
        <v>14</v>
      </c>
      <c r="I1" s="14" t="s">
        <v>15</v>
      </c>
      <c r="J1" s="15" t="s">
        <v>16</v>
      </c>
      <c r="K1" s="13" t="s">
        <v>17</v>
      </c>
      <c r="L1" s="17" t="s">
        <v>18</v>
      </c>
      <c r="M1" s="18" t="s">
        <v>19</v>
      </c>
      <c r="N1" s="12" t="s">
        <v>20</v>
      </c>
      <c r="O1" s="12" t="s">
        <v>21</v>
      </c>
      <c r="P1" s="12" t="s">
        <v>22</v>
      </c>
      <c r="Q1" s="19" t="s">
        <v>23</v>
      </c>
      <c r="R1" s="15" t="s">
        <v>24</v>
      </c>
      <c r="S1" s="12" t="s">
        <v>25</v>
      </c>
      <c r="T1" s="12" t="s">
        <v>26</v>
      </c>
      <c r="U1" s="12" t="s">
        <v>27</v>
      </c>
      <c r="V1" s="20" t="s">
        <v>28</v>
      </c>
      <c r="W1" s="12" t="s">
        <v>29</v>
      </c>
      <c r="X1" s="15" t="s">
        <v>30</v>
      </c>
      <c r="Y1" s="12" t="s">
        <v>31</v>
      </c>
      <c r="Z1" s="12" t="s">
        <v>32</v>
      </c>
      <c r="AA1" s="15" t="s">
        <v>33</v>
      </c>
      <c r="AB1" s="21" t="s">
        <v>34</v>
      </c>
      <c r="AC1" s="21" t="s">
        <v>35</v>
      </c>
      <c r="AD1" s="21" t="s">
        <v>36</v>
      </c>
      <c r="AE1" s="22" t="s">
        <v>37</v>
      </c>
      <c r="AF1" s="21" t="s">
        <v>38</v>
      </c>
      <c r="AG1" s="21" t="s">
        <v>39</v>
      </c>
      <c r="AH1" s="21" t="s">
        <v>40</v>
      </c>
      <c r="AI1" s="21" t="s">
        <v>41</v>
      </c>
      <c r="AJ1" s="21" t="s">
        <v>42</v>
      </c>
      <c r="AK1" s="11" t="s">
        <v>43</v>
      </c>
      <c r="AL1" s="21" t="s">
        <v>44</v>
      </c>
      <c r="AM1" s="11" t="s">
        <v>45</v>
      </c>
      <c r="AN1" s="21" t="s">
        <v>46</v>
      </c>
      <c r="AO1" s="21" t="s">
        <v>47</v>
      </c>
    </row>
    <row r="2" spans="1:41" x14ac:dyDescent="0.25">
      <c r="A2" s="4">
        <v>31</v>
      </c>
      <c r="B2" t="s">
        <v>48</v>
      </c>
      <c r="C2" t="s">
        <v>49</v>
      </c>
      <c r="D2" s="5" t="s">
        <v>50</v>
      </c>
      <c r="E2" t="s">
        <v>51</v>
      </c>
      <c r="F2" s="6">
        <v>45139</v>
      </c>
      <c r="G2" s="7">
        <v>0.16666666666666699</v>
      </c>
      <c r="H2" t="s">
        <v>52</v>
      </c>
      <c r="I2" s="5" t="s">
        <v>53</v>
      </c>
      <c r="J2" t="s">
        <v>54</v>
      </c>
      <c r="K2" s="6">
        <v>45139</v>
      </c>
      <c r="L2" s="23">
        <v>0.75</v>
      </c>
      <c r="M2" s="5">
        <v>119566</v>
      </c>
      <c r="N2" s="5" t="s">
        <v>55</v>
      </c>
      <c r="O2" s="8" t="s">
        <v>56</v>
      </c>
      <c r="Q2" t="s">
        <v>57</v>
      </c>
      <c r="R2" s="5" t="s">
        <v>58</v>
      </c>
      <c r="S2" s="9">
        <v>10</v>
      </c>
      <c r="T2" s="9">
        <v>5</v>
      </c>
      <c r="U2" s="9">
        <v>5</v>
      </c>
      <c r="V2" s="10">
        <f>Table1[[#This Row],[MARGIN '[€']]]/Table1[[#This Row],[SALES '[€']]]</f>
        <v>0.5</v>
      </c>
      <c r="W2" s="5">
        <v>9215166316</v>
      </c>
      <c r="X2" s="5" t="s">
        <v>59</v>
      </c>
      <c r="Y2" s="4">
        <v>82</v>
      </c>
      <c r="AA2" t="s">
        <v>60</v>
      </c>
      <c r="AL2" t="s">
        <v>61</v>
      </c>
    </row>
    <row r="3" spans="1:41" x14ac:dyDescent="0.25">
      <c r="A3" s="4">
        <v>31</v>
      </c>
      <c r="B3" t="s">
        <v>48</v>
      </c>
      <c r="C3" t="s">
        <v>49</v>
      </c>
      <c r="D3" s="5" t="s">
        <v>50</v>
      </c>
      <c r="E3" t="s">
        <v>51</v>
      </c>
      <c r="F3" s="6">
        <v>45139</v>
      </c>
      <c r="G3" s="7">
        <v>0.1875</v>
      </c>
      <c r="H3" t="s">
        <v>52</v>
      </c>
      <c r="I3" s="5" t="s">
        <v>53</v>
      </c>
      <c r="J3" t="s">
        <v>54</v>
      </c>
      <c r="K3" s="6">
        <v>45139</v>
      </c>
      <c r="L3" s="23">
        <v>0.75</v>
      </c>
      <c r="M3" s="5">
        <v>119567</v>
      </c>
      <c r="N3" s="5" t="s">
        <v>55</v>
      </c>
      <c r="O3" s="8" t="s">
        <v>56</v>
      </c>
      <c r="Q3" t="s">
        <v>62</v>
      </c>
      <c r="R3" s="5" t="s">
        <v>58</v>
      </c>
      <c r="S3" s="9">
        <v>10</v>
      </c>
      <c r="T3" s="9">
        <v>5</v>
      </c>
      <c r="U3" s="9">
        <v>5</v>
      </c>
      <c r="V3" s="10">
        <f>Table1[[#This Row],[MARGIN '[€']]]/Table1[[#This Row],[SALES '[€']]]</f>
        <v>0.5</v>
      </c>
      <c r="W3" s="5">
        <v>9215166318</v>
      </c>
      <c r="X3" s="5" t="s">
        <v>63</v>
      </c>
      <c r="Y3" s="4">
        <v>82</v>
      </c>
      <c r="AA3" t="s">
        <v>60</v>
      </c>
      <c r="AL3" t="s">
        <v>61</v>
      </c>
    </row>
    <row r="4" spans="1:41" x14ac:dyDescent="0.25">
      <c r="A4" s="4">
        <v>31</v>
      </c>
      <c r="B4" t="s">
        <v>48</v>
      </c>
      <c r="C4" t="s">
        <v>49</v>
      </c>
      <c r="D4" s="5" t="s">
        <v>50</v>
      </c>
      <c r="E4" t="s">
        <v>51</v>
      </c>
      <c r="F4" s="6">
        <v>45139</v>
      </c>
      <c r="G4" s="7">
        <v>0.20833333333333301</v>
      </c>
      <c r="H4" t="s">
        <v>52</v>
      </c>
      <c r="I4" s="5" t="s">
        <v>53</v>
      </c>
      <c r="J4" t="s">
        <v>54</v>
      </c>
      <c r="K4" s="6">
        <v>45139</v>
      </c>
      <c r="L4" s="23">
        <v>0.75</v>
      </c>
      <c r="M4" s="5">
        <v>119568</v>
      </c>
      <c r="N4" s="5" t="s">
        <v>55</v>
      </c>
      <c r="O4" s="8" t="s">
        <v>56</v>
      </c>
      <c r="Q4" t="s">
        <v>64</v>
      </c>
      <c r="R4" s="5" t="s">
        <v>58</v>
      </c>
      <c r="S4" s="9">
        <v>10</v>
      </c>
      <c r="T4" s="9">
        <v>5</v>
      </c>
      <c r="U4" s="9">
        <v>5</v>
      </c>
      <c r="V4" s="10">
        <f>Table1[[#This Row],[MARGIN '[€']]]/Table1[[#This Row],[SALES '[€']]]</f>
        <v>0.5</v>
      </c>
      <c r="W4" s="5">
        <v>9215166320</v>
      </c>
      <c r="X4" s="5" t="s">
        <v>65</v>
      </c>
      <c r="Y4" s="4">
        <v>82</v>
      </c>
      <c r="AA4" t="s">
        <v>60</v>
      </c>
      <c r="AL4" t="s">
        <v>61</v>
      </c>
    </row>
    <row r="5" spans="1:41" x14ac:dyDescent="0.25">
      <c r="A5" s="4">
        <v>31</v>
      </c>
      <c r="B5" t="s">
        <v>48</v>
      </c>
      <c r="C5" t="s">
        <v>49</v>
      </c>
      <c r="D5" s="5" t="s">
        <v>50</v>
      </c>
      <c r="E5" t="s">
        <v>51</v>
      </c>
      <c r="F5" s="6">
        <v>45139</v>
      </c>
      <c r="G5" s="7">
        <v>0.33333333333333298</v>
      </c>
      <c r="H5" t="s">
        <v>52</v>
      </c>
      <c r="I5" s="5" t="s">
        <v>53</v>
      </c>
      <c r="J5" t="s">
        <v>54</v>
      </c>
      <c r="K5" s="6">
        <v>45139</v>
      </c>
      <c r="L5" s="23">
        <v>0.75</v>
      </c>
      <c r="M5" s="5">
        <v>119569</v>
      </c>
      <c r="N5" s="5" t="s">
        <v>55</v>
      </c>
      <c r="O5" s="8" t="s">
        <v>56</v>
      </c>
      <c r="Q5" t="s">
        <v>57</v>
      </c>
      <c r="R5" s="5" t="s">
        <v>58</v>
      </c>
      <c r="S5" s="9">
        <v>10</v>
      </c>
      <c r="T5" s="9">
        <v>5</v>
      </c>
      <c r="U5" s="9">
        <v>5</v>
      </c>
      <c r="V5" s="10">
        <f>Table1[[#This Row],[MARGIN '[€']]]/Table1[[#This Row],[SALES '[€']]]</f>
        <v>0.5</v>
      </c>
      <c r="W5" s="5">
        <v>9215166317</v>
      </c>
      <c r="X5" s="5" t="s">
        <v>59</v>
      </c>
      <c r="Y5" s="4">
        <v>82</v>
      </c>
      <c r="AA5" t="s">
        <v>60</v>
      </c>
      <c r="AL5" t="s">
        <v>61</v>
      </c>
    </row>
    <row r="6" spans="1:41" x14ac:dyDescent="0.25">
      <c r="A6" s="4">
        <v>31</v>
      </c>
      <c r="B6" t="s">
        <v>48</v>
      </c>
      <c r="C6" t="s">
        <v>49</v>
      </c>
      <c r="D6" s="5" t="s">
        <v>50</v>
      </c>
      <c r="E6" t="s">
        <v>51</v>
      </c>
      <c r="F6" s="6">
        <v>45139</v>
      </c>
      <c r="G6" s="7">
        <v>0.34722222222222199</v>
      </c>
      <c r="H6" t="s">
        <v>52</v>
      </c>
      <c r="I6" s="5" t="s">
        <v>53</v>
      </c>
      <c r="J6" t="s">
        <v>54</v>
      </c>
      <c r="K6" s="6">
        <v>45139</v>
      </c>
      <c r="L6" s="23">
        <v>0.75</v>
      </c>
      <c r="M6" s="5">
        <v>119570</v>
      </c>
      <c r="N6" s="5" t="s">
        <v>55</v>
      </c>
      <c r="O6" s="8" t="s">
        <v>56</v>
      </c>
      <c r="Q6" t="s">
        <v>62</v>
      </c>
      <c r="R6" s="5" t="s">
        <v>58</v>
      </c>
      <c r="S6" s="9">
        <v>10</v>
      </c>
      <c r="T6" s="9">
        <v>5</v>
      </c>
      <c r="U6" s="9">
        <v>5</v>
      </c>
      <c r="V6" s="10">
        <f>Table1[[#This Row],[MARGIN '[€']]]/Table1[[#This Row],[SALES '[€']]]</f>
        <v>0.5</v>
      </c>
      <c r="W6" s="5">
        <v>9215166319</v>
      </c>
      <c r="X6" s="5" t="s">
        <v>63</v>
      </c>
      <c r="Y6" s="4">
        <v>82</v>
      </c>
      <c r="AA6" t="s">
        <v>60</v>
      </c>
      <c r="AL6" t="s">
        <v>61</v>
      </c>
    </row>
    <row r="7" spans="1:41" x14ac:dyDescent="0.25">
      <c r="A7" s="4">
        <v>31</v>
      </c>
      <c r="B7" t="s">
        <v>48</v>
      </c>
      <c r="C7" t="s">
        <v>49</v>
      </c>
      <c r="D7" s="5" t="s">
        <v>50</v>
      </c>
      <c r="E7" t="s">
        <v>51</v>
      </c>
      <c r="F7" s="6">
        <v>45139</v>
      </c>
      <c r="G7" s="7">
        <v>0.36111111111111099</v>
      </c>
      <c r="H7" t="s">
        <v>52</v>
      </c>
      <c r="I7" s="5" t="s">
        <v>53</v>
      </c>
      <c r="J7" t="s">
        <v>54</v>
      </c>
      <c r="K7" s="6">
        <v>45139</v>
      </c>
      <c r="L7" s="23">
        <v>0.75</v>
      </c>
      <c r="M7" s="5">
        <v>119571</v>
      </c>
      <c r="N7" s="5" t="s">
        <v>55</v>
      </c>
      <c r="O7" s="8" t="s">
        <v>56</v>
      </c>
      <c r="Q7" t="s">
        <v>64</v>
      </c>
      <c r="R7" s="5" t="s">
        <v>58</v>
      </c>
      <c r="S7" s="9">
        <v>10</v>
      </c>
      <c r="T7" s="9">
        <v>5</v>
      </c>
      <c r="U7" s="9">
        <v>5</v>
      </c>
      <c r="V7" s="10">
        <f>Table1[[#This Row],[MARGIN '[€']]]/Table1[[#This Row],[SALES '[€']]]</f>
        <v>0.5</v>
      </c>
      <c r="W7" s="5">
        <v>9215166321</v>
      </c>
      <c r="X7" s="5" t="s">
        <v>65</v>
      </c>
      <c r="Y7" s="4">
        <v>82</v>
      </c>
      <c r="AA7" t="s">
        <v>60</v>
      </c>
      <c r="AL7" t="s">
        <v>61</v>
      </c>
    </row>
    <row r="8" spans="1:41" x14ac:dyDescent="0.25">
      <c r="A8" s="4">
        <v>31</v>
      </c>
      <c r="B8" t="s">
        <v>48</v>
      </c>
      <c r="C8" t="s">
        <v>49</v>
      </c>
      <c r="D8" s="5" t="s">
        <v>50</v>
      </c>
      <c r="E8" t="s">
        <v>51</v>
      </c>
      <c r="F8" s="6">
        <v>45139</v>
      </c>
      <c r="G8" s="7">
        <v>0.58333333333333304</v>
      </c>
      <c r="H8" t="s">
        <v>66</v>
      </c>
      <c r="I8" s="5" t="s">
        <v>67</v>
      </c>
      <c r="J8" t="s">
        <v>68</v>
      </c>
      <c r="K8" s="6">
        <v>45140</v>
      </c>
      <c r="L8" s="23">
        <v>0.75</v>
      </c>
      <c r="M8" s="5">
        <v>119498</v>
      </c>
      <c r="N8" s="5" t="s">
        <v>69</v>
      </c>
      <c r="O8" s="8" t="s">
        <v>56</v>
      </c>
      <c r="Q8" t="s">
        <v>70</v>
      </c>
      <c r="R8" s="5" t="s">
        <v>71</v>
      </c>
      <c r="S8" s="9">
        <v>10</v>
      </c>
      <c r="T8" s="9">
        <v>5</v>
      </c>
      <c r="U8" s="9">
        <v>5</v>
      </c>
      <c r="V8" s="10">
        <f>Table1[[#This Row],[MARGIN '[€']]]/Table1[[#This Row],[SALES '[€']]]</f>
        <v>0.5</v>
      </c>
      <c r="W8" s="5">
        <v>9215166322</v>
      </c>
      <c r="X8" s="5" t="s">
        <v>72</v>
      </c>
      <c r="Y8" s="4">
        <v>316</v>
      </c>
      <c r="AA8" t="s">
        <v>73</v>
      </c>
      <c r="AL8" t="s">
        <v>61</v>
      </c>
    </row>
    <row r="9" spans="1:41" x14ac:dyDescent="0.25">
      <c r="A9" s="4">
        <v>31</v>
      </c>
      <c r="B9" t="s">
        <v>48</v>
      </c>
      <c r="C9" t="s">
        <v>49</v>
      </c>
      <c r="D9" s="5" t="s">
        <v>50</v>
      </c>
      <c r="E9" t="s">
        <v>51</v>
      </c>
      <c r="F9" s="6">
        <v>45139</v>
      </c>
      <c r="G9" s="7">
        <v>0.66666666666666696</v>
      </c>
      <c r="H9" t="s">
        <v>66</v>
      </c>
      <c r="I9" s="5" t="s">
        <v>67</v>
      </c>
      <c r="J9" t="s">
        <v>68</v>
      </c>
      <c r="K9" s="6">
        <v>45140</v>
      </c>
      <c r="L9" s="23">
        <v>0.91666666666666696</v>
      </c>
      <c r="M9" s="5">
        <v>119499</v>
      </c>
      <c r="N9" s="5" t="s">
        <v>69</v>
      </c>
      <c r="O9" s="8" t="s">
        <v>56</v>
      </c>
      <c r="Q9" t="s">
        <v>74</v>
      </c>
      <c r="R9" s="5" t="s">
        <v>71</v>
      </c>
      <c r="S9" s="9">
        <v>10</v>
      </c>
      <c r="T9" s="9">
        <v>5</v>
      </c>
      <c r="U9" s="9">
        <v>5</v>
      </c>
      <c r="V9" s="10">
        <f>Table1[[#This Row],[MARGIN '[€']]]/Table1[[#This Row],[SALES '[€']]]</f>
        <v>0.5</v>
      </c>
      <c r="W9" s="5">
        <v>9215166323</v>
      </c>
      <c r="X9" s="5" t="s">
        <v>75</v>
      </c>
      <c r="Y9" s="4">
        <v>316</v>
      </c>
      <c r="AA9" t="s">
        <v>73</v>
      </c>
      <c r="AL9" t="s">
        <v>61</v>
      </c>
    </row>
    <row r="10" spans="1:41" x14ac:dyDescent="0.25">
      <c r="A10" s="4">
        <v>31</v>
      </c>
      <c r="B10" t="s">
        <v>48</v>
      </c>
      <c r="C10" t="s">
        <v>49</v>
      </c>
      <c r="D10" s="5" t="s">
        <v>50</v>
      </c>
      <c r="E10" t="s">
        <v>51</v>
      </c>
      <c r="F10" s="6">
        <v>45139</v>
      </c>
      <c r="G10" s="7">
        <v>0.45833333333333298</v>
      </c>
      <c r="H10" t="s">
        <v>66</v>
      </c>
      <c r="I10" s="5" t="s">
        <v>67</v>
      </c>
      <c r="J10" t="s">
        <v>68</v>
      </c>
      <c r="K10" s="6">
        <v>45141</v>
      </c>
      <c r="L10" s="23">
        <v>0.58333333333333304</v>
      </c>
      <c r="M10" s="5">
        <v>119503</v>
      </c>
      <c r="N10" s="5" t="s">
        <v>69</v>
      </c>
      <c r="O10" s="8" t="s">
        <v>56</v>
      </c>
      <c r="P10" t="s">
        <v>76</v>
      </c>
      <c r="Q10" t="s">
        <v>77</v>
      </c>
      <c r="R10" s="5" t="s">
        <v>71</v>
      </c>
      <c r="S10" s="9">
        <v>10</v>
      </c>
      <c r="T10" s="9">
        <v>5</v>
      </c>
      <c r="U10" s="9">
        <v>5</v>
      </c>
      <c r="V10" s="10">
        <f>Table1[[#This Row],[MARGIN '[€']]]/Table1[[#This Row],[SALES '[€']]]</f>
        <v>0.5</v>
      </c>
      <c r="W10" s="5" t="s">
        <v>78</v>
      </c>
      <c r="X10" s="5" t="s">
        <v>79</v>
      </c>
      <c r="Y10" s="4">
        <v>316</v>
      </c>
      <c r="AA10" t="s">
        <v>73</v>
      </c>
      <c r="AL10" t="s">
        <v>61</v>
      </c>
    </row>
    <row r="11" spans="1:41" x14ac:dyDescent="0.25">
      <c r="A11" s="4">
        <v>31</v>
      </c>
      <c r="B11" t="s">
        <v>48</v>
      </c>
      <c r="C11" t="s">
        <v>49</v>
      </c>
      <c r="D11" s="5" t="s">
        <v>50</v>
      </c>
      <c r="E11" t="s">
        <v>51</v>
      </c>
      <c r="F11" s="6">
        <v>45139</v>
      </c>
      <c r="G11" s="7">
        <v>0.70833333333333304</v>
      </c>
      <c r="H11" t="s">
        <v>66</v>
      </c>
      <c r="I11" s="5" t="s">
        <v>67</v>
      </c>
      <c r="J11" t="s">
        <v>68</v>
      </c>
      <c r="K11" s="6">
        <v>45141</v>
      </c>
      <c r="L11" s="23">
        <v>0.66666666666666696</v>
      </c>
      <c r="M11" s="5">
        <v>119504</v>
      </c>
      <c r="N11" s="5" t="s">
        <v>69</v>
      </c>
      <c r="O11" s="8" t="s">
        <v>56</v>
      </c>
      <c r="Q11" t="s">
        <v>80</v>
      </c>
      <c r="R11" s="5" t="s">
        <v>71</v>
      </c>
      <c r="S11" s="9">
        <v>10</v>
      </c>
      <c r="T11" s="9">
        <v>5</v>
      </c>
      <c r="U11" s="9">
        <v>5</v>
      </c>
      <c r="V11" s="10">
        <f>Table1[[#This Row],[MARGIN '[€']]]/Table1[[#This Row],[SALES '[€']]]</f>
        <v>0.5</v>
      </c>
      <c r="W11" s="5">
        <v>9215166325</v>
      </c>
      <c r="X11" s="5" t="s">
        <v>81</v>
      </c>
      <c r="Y11" s="4">
        <v>316</v>
      </c>
      <c r="AA11" t="s">
        <v>73</v>
      </c>
      <c r="AL11" t="s">
        <v>61</v>
      </c>
    </row>
    <row r="12" spans="1:41" x14ac:dyDescent="0.25">
      <c r="A12" s="4">
        <v>31</v>
      </c>
      <c r="B12" t="s">
        <v>48</v>
      </c>
      <c r="C12" t="s">
        <v>49</v>
      </c>
      <c r="D12" s="5" t="s">
        <v>50</v>
      </c>
      <c r="E12" t="s">
        <v>51</v>
      </c>
      <c r="F12" s="6">
        <v>45139</v>
      </c>
      <c r="G12" s="7">
        <v>0.75</v>
      </c>
      <c r="H12" t="s">
        <v>66</v>
      </c>
      <c r="I12" s="5" t="s">
        <v>67</v>
      </c>
      <c r="J12" t="s">
        <v>68</v>
      </c>
      <c r="K12" s="6">
        <v>45141</v>
      </c>
      <c r="L12" s="23">
        <v>0.75</v>
      </c>
      <c r="M12" s="5">
        <v>119505</v>
      </c>
      <c r="N12" s="5" t="s">
        <v>69</v>
      </c>
      <c r="O12" s="8" t="s">
        <v>56</v>
      </c>
      <c r="Q12" t="s">
        <v>82</v>
      </c>
      <c r="R12" s="5" t="s">
        <v>71</v>
      </c>
      <c r="S12" s="9">
        <v>10</v>
      </c>
      <c r="T12" s="9">
        <v>5</v>
      </c>
      <c r="U12" s="9">
        <v>5</v>
      </c>
      <c r="V12" s="10">
        <f>Table1[[#This Row],[MARGIN '[€']]]/Table1[[#This Row],[SALES '[€']]]</f>
        <v>0.5</v>
      </c>
      <c r="W12" s="5">
        <v>9215166331</v>
      </c>
      <c r="X12" s="5" t="s">
        <v>83</v>
      </c>
      <c r="Y12" s="4">
        <v>316</v>
      </c>
      <c r="AA12" t="s">
        <v>73</v>
      </c>
      <c r="AL12" t="s">
        <v>61</v>
      </c>
    </row>
    <row r="13" spans="1:41" x14ac:dyDescent="0.25">
      <c r="A13" s="4">
        <v>31</v>
      </c>
      <c r="B13" t="s">
        <v>48</v>
      </c>
      <c r="C13" t="s">
        <v>49</v>
      </c>
      <c r="D13" s="5">
        <v>4</v>
      </c>
      <c r="E13" t="s">
        <v>51</v>
      </c>
      <c r="F13" s="6">
        <v>45139</v>
      </c>
      <c r="G13" s="7">
        <v>0.43055555555555602</v>
      </c>
      <c r="H13" t="s">
        <v>52</v>
      </c>
      <c r="I13" s="5" t="s">
        <v>84</v>
      </c>
      <c r="J13" t="s">
        <v>85</v>
      </c>
      <c r="K13" s="6">
        <v>45139</v>
      </c>
      <c r="L13" s="23">
        <v>0.75</v>
      </c>
      <c r="M13" s="5">
        <v>119238</v>
      </c>
      <c r="N13" s="5" t="s">
        <v>69</v>
      </c>
      <c r="O13" s="8" t="s">
        <v>56</v>
      </c>
      <c r="P13" t="s">
        <v>76</v>
      </c>
      <c r="Q13" t="s">
        <v>86</v>
      </c>
      <c r="R13" s="5" t="s">
        <v>58</v>
      </c>
      <c r="S13" s="9">
        <v>10</v>
      </c>
      <c r="T13" s="9">
        <v>5</v>
      </c>
      <c r="U13" s="9">
        <v>5</v>
      </c>
      <c r="V13" s="10">
        <f>Table1[[#This Row],[MARGIN '[€']]]/Table1[[#This Row],[SALES '[€']]]</f>
        <v>0.5</v>
      </c>
      <c r="W13" s="5" t="s">
        <v>87</v>
      </c>
      <c r="X13" s="5" t="s">
        <v>88</v>
      </c>
      <c r="Y13" s="4">
        <v>261</v>
      </c>
      <c r="AA13" t="s">
        <v>89</v>
      </c>
      <c r="AL13" t="s">
        <v>61</v>
      </c>
    </row>
    <row r="14" spans="1:41" x14ac:dyDescent="0.25">
      <c r="A14" s="4">
        <v>31</v>
      </c>
      <c r="B14" t="s">
        <v>48</v>
      </c>
      <c r="C14" t="s">
        <v>49</v>
      </c>
      <c r="D14" s="5" t="s">
        <v>50</v>
      </c>
      <c r="E14" t="s">
        <v>51</v>
      </c>
      <c r="F14" s="6">
        <v>45139</v>
      </c>
      <c r="G14" s="7">
        <v>0.22916666666666699</v>
      </c>
      <c r="H14" t="s">
        <v>90</v>
      </c>
      <c r="I14" s="5" t="s">
        <v>91</v>
      </c>
      <c r="J14" t="s">
        <v>92</v>
      </c>
      <c r="K14" s="6">
        <v>45139</v>
      </c>
      <c r="L14" s="23">
        <v>0.55902777777777801</v>
      </c>
      <c r="M14" s="5">
        <v>119543</v>
      </c>
      <c r="N14" s="5" t="s">
        <v>69</v>
      </c>
      <c r="O14" s="8" t="s">
        <v>56</v>
      </c>
      <c r="Q14" t="s">
        <v>93</v>
      </c>
      <c r="R14" s="5" t="s">
        <v>94</v>
      </c>
      <c r="S14" s="9">
        <v>10</v>
      </c>
      <c r="T14" s="9">
        <v>5</v>
      </c>
      <c r="U14" s="9">
        <v>5</v>
      </c>
      <c r="V14" s="10">
        <f>Table1[[#This Row],[MARGIN '[€']]]/Table1[[#This Row],[SALES '[€']]]</f>
        <v>0.5</v>
      </c>
      <c r="W14" s="5">
        <v>9215166300</v>
      </c>
      <c r="X14" s="5" t="s">
        <v>95</v>
      </c>
      <c r="Y14" s="4">
        <v>441</v>
      </c>
      <c r="Z14" t="s">
        <v>96</v>
      </c>
      <c r="AA14" t="s">
        <v>60</v>
      </c>
      <c r="AL14" t="s">
        <v>61</v>
      </c>
    </row>
    <row r="15" spans="1:41" x14ac:dyDescent="0.25">
      <c r="A15" s="4">
        <v>31</v>
      </c>
      <c r="B15" t="s">
        <v>48</v>
      </c>
      <c r="C15" t="s">
        <v>49</v>
      </c>
      <c r="D15" s="5" t="s">
        <v>50</v>
      </c>
      <c r="E15" t="s">
        <v>51</v>
      </c>
      <c r="F15" s="6">
        <v>45139</v>
      </c>
      <c r="G15" s="7">
        <v>0.29166666666666702</v>
      </c>
      <c r="H15" t="s">
        <v>90</v>
      </c>
      <c r="I15" s="5" t="s">
        <v>91</v>
      </c>
      <c r="J15" t="s">
        <v>92</v>
      </c>
      <c r="K15" s="6">
        <v>45139</v>
      </c>
      <c r="L15" s="23">
        <v>0.62152777777777801</v>
      </c>
      <c r="M15" s="5">
        <v>119544</v>
      </c>
      <c r="N15" s="5" t="s">
        <v>69</v>
      </c>
      <c r="O15" s="8" t="s">
        <v>56</v>
      </c>
      <c r="P15" t="s">
        <v>76</v>
      </c>
      <c r="Q15" t="s">
        <v>97</v>
      </c>
      <c r="R15" s="5" t="s">
        <v>98</v>
      </c>
      <c r="S15" s="9">
        <v>10</v>
      </c>
      <c r="T15" s="9">
        <v>5</v>
      </c>
      <c r="U15" s="9">
        <v>5</v>
      </c>
      <c r="V15" s="10">
        <f>Table1[[#This Row],[MARGIN '[€']]]/Table1[[#This Row],[SALES '[€']]]</f>
        <v>0.5</v>
      </c>
      <c r="W15" s="5" t="s">
        <v>99</v>
      </c>
      <c r="X15" s="5" t="s">
        <v>100</v>
      </c>
      <c r="Y15" s="4">
        <v>441</v>
      </c>
      <c r="Z15" t="s">
        <v>101</v>
      </c>
      <c r="AA15" t="s">
        <v>60</v>
      </c>
      <c r="AL15" t="s">
        <v>61</v>
      </c>
    </row>
    <row r="16" spans="1:41" x14ac:dyDescent="0.25">
      <c r="A16" s="4">
        <v>31</v>
      </c>
      <c r="B16" t="s">
        <v>48</v>
      </c>
      <c r="C16" t="s">
        <v>49</v>
      </c>
      <c r="D16" s="5" t="s">
        <v>102</v>
      </c>
      <c r="E16" t="s">
        <v>103</v>
      </c>
      <c r="F16" s="6">
        <v>45139</v>
      </c>
      <c r="G16" s="7">
        <v>0.28125</v>
      </c>
      <c r="H16" t="s">
        <v>90</v>
      </c>
      <c r="I16" s="5" t="s">
        <v>91</v>
      </c>
      <c r="J16" t="s">
        <v>92</v>
      </c>
      <c r="K16" s="6">
        <v>45140</v>
      </c>
      <c r="L16" s="23">
        <v>0.24652777777777801</v>
      </c>
      <c r="M16" s="5">
        <v>119547</v>
      </c>
      <c r="N16" s="5" t="s">
        <v>69</v>
      </c>
      <c r="O16" s="8" t="s">
        <v>56</v>
      </c>
      <c r="Q16" t="s">
        <v>104</v>
      </c>
      <c r="R16" s="5" t="s">
        <v>94</v>
      </c>
      <c r="S16" s="9">
        <v>10</v>
      </c>
      <c r="T16" s="9">
        <v>5</v>
      </c>
      <c r="U16" s="9">
        <v>5</v>
      </c>
      <c r="V16" s="10">
        <f>Table1[[#This Row],[MARGIN '[€']]]/Table1[[#This Row],[SALES '[€']]]</f>
        <v>0.5</v>
      </c>
      <c r="W16" s="5">
        <v>9215166311</v>
      </c>
      <c r="X16" s="5" t="s">
        <v>105</v>
      </c>
      <c r="Y16" s="4">
        <v>441</v>
      </c>
      <c r="Z16" t="s">
        <v>106</v>
      </c>
      <c r="AA16" t="s">
        <v>60</v>
      </c>
      <c r="AL16" t="s">
        <v>61</v>
      </c>
    </row>
    <row r="17" spans="1:38" x14ac:dyDescent="0.25">
      <c r="A17" s="4">
        <v>31</v>
      </c>
      <c r="B17" t="s">
        <v>48</v>
      </c>
      <c r="C17" t="s">
        <v>49</v>
      </c>
      <c r="D17" s="5" t="s">
        <v>50</v>
      </c>
      <c r="E17" t="s">
        <v>51</v>
      </c>
      <c r="F17" s="6">
        <v>45139</v>
      </c>
      <c r="G17" s="7">
        <v>0.95833333333333304</v>
      </c>
      <c r="H17" t="s">
        <v>90</v>
      </c>
      <c r="I17" s="5" t="s">
        <v>91</v>
      </c>
      <c r="J17" t="s">
        <v>92</v>
      </c>
      <c r="K17" s="6">
        <v>45140</v>
      </c>
      <c r="L17" s="23">
        <v>0.30902777777777801</v>
      </c>
      <c r="M17" s="5">
        <v>119548</v>
      </c>
      <c r="N17" s="5" t="s">
        <v>69</v>
      </c>
      <c r="O17" s="8" t="s">
        <v>56</v>
      </c>
      <c r="Q17" t="s">
        <v>107</v>
      </c>
      <c r="R17" s="5" t="s">
        <v>98</v>
      </c>
      <c r="S17" s="9">
        <v>10</v>
      </c>
      <c r="T17" s="9">
        <v>5</v>
      </c>
      <c r="U17" s="9">
        <v>5</v>
      </c>
      <c r="V17" s="10">
        <f>Table1[[#This Row],[MARGIN '[€']]]/Table1[[#This Row],[SALES '[€']]]</f>
        <v>0.5</v>
      </c>
      <c r="W17" s="5">
        <v>9215166312</v>
      </c>
      <c r="X17" s="5" t="s">
        <v>108</v>
      </c>
      <c r="Y17" s="4">
        <v>441</v>
      </c>
      <c r="Z17" t="s">
        <v>109</v>
      </c>
      <c r="AA17" t="s">
        <v>60</v>
      </c>
      <c r="AL17" t="s">
        <v>61</v>
      </c>
    </row>
    <row r="18" spans="1:38" x14ac:dyDescent="0.25">
      <c r="A18" s="4">
        <v>31</v>
      </c>
      <c r="B18" t="s">
        <v>48</v>
      </c>
      <c r="C18" t="s">
        <v>49</v>
      </c>
      <c r="D18" s="5" t="s">
        <v>50</v>
      </c>
      <c r="E18" t="s">
        <v>51</v>
      </c>
      <c r="F18" s="6">
        <v>45139</v>
      </c>
      <c r="G18" s="7">
        <v>0.25</v>
      </c>
      <c r="H18" t="s">
        <v>49</v>
      </c>
      <c r="I18" s="5">
        <v>94</v>
      </c>
      <c r="J18" t="s">
        <v>110</v>
      </c>
      <c r="K18" s="6">
        <v>45139</v>
      </c>
      <c r="L18" s="23">
        <v>0.54166666666666696</v>
      </c>
      <c r="M18" s="5">
        <v>119607</v>
      </c>
      <c r="N18" s="5" t="s">
        <v>69</v>
      </c>
      <c r="O18" s="8" t="s">
        <v>56</v>
      </c>
      <c r="Q18" t="s">
        <v>111</v>
      </c>
      <c r="R18" s="5" t="s">
        <v>112</v>
      </c>
      <c r="S18" s="9">
        <v>10</v>
      </c>
      <c r="T18" s="9">
        <v>5</v>
      </c>
      <c r="U18" s="9">
        <v>5</v>
      </c>
      <c r="V18" s="10">
        <f>Table1[[#This Row],[MARGIN '[€']]]/Table1[[#This Row],[SALES '[€']]]</f>
        <v>0.5</v>
      </c>
      <c r="W18" s="5">
        <v>9215166299</v>
      </c>
      <c r="X18" s="5" t="s">
        <v>113</v>
      </c>
      <c r="Y18" s="4">
        <v>345</v>
      </c>
      <c r="AA18" t="s">
        <v>89</v>
      </c>
      <c r="AL18" t="s">
        <v>61</v>
      </c>
    </row>
    <row r="19" spans="1:38" x14ac:dyDescent="0.25">
      <c r="A19" s="4">
        <v>31</v>
      </c>
      <c r="B19" t="s">
        <v>48</v>
      </c>
      <c r="C19" t="s">
        <v>49</v>
      </c>
      <c r="D19" s="5" t="s">
        <v>50</v>
      </c>
      <c r="E19" t="s">
        <v>51</v>
      </c>
      <c r="F19" s="6">
        <v>45139</v>
      </c>
      <c r="G19" s="7">
        <v>0.97916666666666696</v>
      </c>
      <c r="H19" t="s">
        <v>90</v>
      </c>
      <c r="I19" s="5" t="s">
        <v>91</v>
      </c>
      <c r="J19" t="s">
        <v>92</v>
      </c>
      <c r="K19" s="6">
        <v>45140</v>
      </c>
      <c r="L19" s="23">
        <v>0.49652777777777801</v>
      </c>
      <c r="M19" s="5">
        <v>119549</v>
      </c>
      <c r="N19" s="5" t="s">
        <v>69</v>
      </c>
      <c r="O19" s="8" t="s">
        <v>56</v>
      </c>
      <c r="Q19" t="s">
        <v>114</v>
      </c>
      <c r="R19" s="5" t="s">
        <v>94</v>
      </c>
      <c r="S19" s="9">
        <v>10</v>
      </c>
      <c r="T19" s="9">
        <v>5</v>
      </c>
      <c r="U19" s="9">
        <v>5</v>
      </c>
      <c r="V19" s="10">
        <f>Table1[[#This Row],[MARGIN '[€']]]/Table1[[#This Row],[SALES '[€']]]</f>
        <v>0.5</v>
      </c>
      <c r="W19" s="5">
        <v>9215166313</v>
      </c>
      <c r="X19" s="5" t="s">
        <v>115</v>
      </c>
      <c r="Y19" s="4">
        <v>441</v>
      </c>
      <c r="Z19" t="s">
        <v>116</v>
      </c>
      <c r="AA19" t="s">
        <v>60</v>
      </c>
      <c r="AL19" t="s">
        <v>61</v>
      </c>
    </row>
    <row r="20" spans="1:38" x14ac:dyDescent="0.25">
      <c r="A20" s="4">
        <v>31</v>
      </c>
      <c r="B20" t="s">
        <v>48</v>
      </c>
      <c r="C20" t="s">
        <v>49</v>
      </c>
      <c r="D20" s="5" t="s">
        <v>50</v>
      </c>
      <c r="E20" t="s">
        <v>51</v>
      </c>
      <c r="F20" s="6">
        <v>45139</v>
      </c>
      <c r="G20" s="7">
        <v>0.79166666666666696</v>
      </c>
      <c r="H20" t="s">
        <v>90</v>
      </c>
      <c r="I20" s="5" t="s">
        <v>91</v>
      </c>
      <c r="J20" t="s">
        <v>92</v>
      </c>
      <c r="K20" s="6">
        <v>45140</v>
      </c>
      <c r="L20" s="23">
        <v>0.67708333333333304</v>
      </c>
      <c r="M20" s="5">
        <v>119552</v>
      </c>
      <c r="N20" s="5" t="s">
        <v>69</v>
      </c>
      <c r="O20" s="8" t="s">
        <v>56</v>
      </c>
      <c r="Q20" t="s">
        <v>117</v>
      </c>
      <c r="R20" s="5" t="s">
        <v>118</v>
      </c>
      <c r="S20" s="9">
        <v>10</v>
      </c>
      <c r="T20" s="9">
        <v>5</v>
      </c>
      <c r="U20" s="9">
        <v>5</v>
      </c>
      <c r="V20" s="10">
        <f>Table1[[#This Row],[MARGIN '[€']]]/Table1[[#This Row],[SALES '[€']]]</f>
        <v>0.5</v>
      </c>
      <c r="W20" s="5">
        <v>9215166314</v>
      </c>
      <c r="X20" s="5" t="s">
        <v>119</v>
      </c>
      <c r="Y20" s="4">
        <v>441</v>
      </c>
      <c r="Z20" t="s">
        <v>120</v>
      </c>
      <c r="AA20" t="s">
        <v>60</v>
      </c>
      <c r="AL20" t="s">
        <v>61</v>
      </c>
    </row>
    <row r="21" spans="1:38" x14ac:dyDescent="0.25">
      <c r="A21" s="4">
        <v>31</v>
      </c>
      <c r="B21" t="s">
        <v>48</v>
      </c>
      <c r="C21" t="s">
        <v>49</v>
      </c>
      <c r="D21" s="5" t="s">
        <v>50</v>
      </c>
      <c r="E21" t="s">
        <v>51</v>
      </c>
      <c r="F21" s="6">
        <v>45139</v>
      </c>
      <c r="G21" s="7">
        <v>0.14583333333333301</v>
      </c>
      <c r="H21" t="s">
        <v>90</v>
      </c>
      <c r="I21" s="5" t="s">
        <v>91</v>
      </c>
      <c r="J21" t="s">
        <v>92</v>
      </c>
      <c r="K21" s="6">
        <v>45139</v>
      </c>
      <c r="L21" s="23">
        <v>0.68402777777777801</v>
      </c>
      <c r="M21" s="5" t="s">
        <v>121</v>
      </c>
      <c r="N21" s="5" t="s">
        <v>69</v>
      </c>
      <c r="O21" s="8" t="s">
        <v>56</v>
      </c>
      <c r="Q21" t="s">
        <v>122</v>
      </c>
      <c r="R21" s="5" t="s">
        <v>123</v>
      </c>
      <c r="S21" s="9">
        <v>10</v>
      </c>
      <c r="T21" s="9">
        <v>5</v>
      </c>
      <c r="U21" s="9">
        <v>5</v>
      </c>
      <c r="V21" s="10">
        <f>Table1[[#This Row],[MARGIN '[€']]]/Table1[[#This Row],[SALES '[€']]]</f>
        <v>0.5</v>
      </c>
      <c r="W21" s="5" t="s">
        <v>124</v>
      </c>
      <c r="X21" s="5" t="s">
        <v>125</v>
      </c>
      <c r="Y21" s="4">
        <v>441</v>
      </c>
      <c r="Z21" t="s">
        <v>126</v>
      </c>
      <c r="AA21" t="s">
        <v>60</v>
      </c>
      <c r="AL21" t="s">
        <v>61</v>
      </c>
    </row>
    <row r="22" spans="1:38" x14ac:dyDescent="0.25">
      <c r="A22" s="4">
        <v>31</v>
      </c>
      <c r="B22" t="s">
        <v>48</v>
      </c>
      <c r="C22" t="s">
        <v>49</v>
      </c>
      <c r="D22" s="5" t="s">
        <v>102</v>
      </c>
      <c r="E22" t="s">
        <v>127</v>
      </c>
      <c r="F22" s="6">
        <v>45139</v>
      </c>
      <c r="G22" s="7">
        <v>0.25</v>
      </c>
      <c r="H22" t="s">
        <v>90</v>
      </c>
      <c r="I22" s="5" t="s">
        <v>91</v>
      </c>
      <c r="J22" t="s">
        <v>92</v>
      </c>
      <c r="K22" s="6">
        <v>45139</v>
      </c>
      <c r="L22" s="23">
        <v>0.74652777777777801</v>
      </c>
      <c r="M22" s="5" t="s">
        <v>128</v>
      </c>
      <c r="N22" s="5" t="s">
        <v>69</v>
      </c>
      <c r="O22" s="8" t="s">
        <v>56</v>
      </c>
      <c r="Q22" t="s">
        <v>129</v>
      </c>
      <c r="R22" s="5" t="s">
        <v>94</v>
      </c>
      <c r="S22" s="9">
        <v>10</v>
      </c>
      <c r="T22" s="9">
        <v>5</v>
      </c>
      <c r="U22" s="9">
        <v>5</v>
      </c>
      <c r="V22" s="10">
        <f>Table1[[#This Row],[MARGIN '[€']]]/Table1[[#This Row],[SALES '[€']]]</f>
        <v>0.5</v>
      </c>
      <c r="W22" s="5" t="s">
        <v>130</v>
      </c>
      <c r="X22" s="5" t="s">
        <v>131</v>
      </c>
      <c r="Y22" s="4">
        <v>441</v>
      </c>
      <c r="Z22" t="s">
        <v>132</v>
      </c>
      <c r="AA22" t="s">
        <v>60</v>
      </c>
      <c r="AL22" t="s">
        <v>61</v>
      </c>
    </row>
    <row r="23" spans="1:38" x14ac:dyDescent="0.25">
      <c r="A23" s="4">
        <v>31</v>
      </c>
      <c r="B23" t="s">
        <v>48</v>
      </c>
      <c r="C23" t="s">
        <v>49</v>
      </c>
      <c r="D23" s="5" t="s">
        <v>102</v>
      </c>
      <c r="E23" t="s">
        <v>103</v>
      </c>
      <c r="F23" s="6">
        <v>45139</v>
      </c>
      <c r="G23" s="7">
        <v>0.4375</v>
      </c>
      <c r="H23" t="s">
        <v>90</v>
      </c>
      <c r="I23" s="5">
        <v>23</v>
      </c>
      <c r="J23" t="s">
        <v>133</v>
      </c>
      <c r="K23" s="6">
        <v>45140</v>
      </c>
      <c r="L23" s="23">
        <v>0.29166666666666702</v>
      </c>
      <c r="M23" s="5">
        <v>119584</v>
      </c>
      <c r="N23" s="5" t="s">
        <v>69</v>
      </c>
      <c r="O23" s="8" t="s">
        <v>56</v>
      </c>
      <c r="Q23" t="s">
        <v>134</v>
      </c>
      <c r="R23" s="5" t="s">
        <v>135</v>
      </c>
      <c r="S23" s="9">
        <v>10</v>
      </c>
      <c r="T23" s="9">
        <v>5</v>
      </c>
      <c r="U23" s="9">
        <v>5</v>
      </c>
      <c r="V23" s="10">
        <f>Table1[[#This Row],[MARGIN '[€']]]/Table1[[#This Row],[SALES '[€']]]</f>
        <v>0.5</v>
      </c>
      <c r="W23" s="5">
        <v>9215166187</v>
      </c>
      <c r="X23" s="5" t="s">
        <v>136</v>
      </c>
      <c r="Y23" s="4">
        <v>483</v>
      </c>
      <c r="AA23" t="s">
        <v>73</v>
      </c>
      <c r="AL23" t="s">
        <v>61</v>
      </c>
    </row>
    <row r="24" spans="1:38" x14ac:dyDescent="0.25">
      <c r="A24" s="4">
        <v>31</v>
      </c>
      <c r="B24" t="s">
        <v>137</v>
      </c>
      <c r="C24" t="s">
        <v>49</v>
      </c>
      <c r="D24" s="5" t="s">
        <v>50</v>
      </c>
      <c r="E24" t="s">
        <v>51</v>
      </c>
      <c r="F24" s="6">
        <v>45140</v>
      </c>
      <c r="G24" s="7">
        <v>0.33333333333333298</v>
      </c>
      <c r="H24" t="s">
        <v>138</v>
      </c>
      <c r="I24" s="5" t="s">
        <v>139</v>
      </c>
      <c r="J24" t="s">
        <v>140</v>
      </c>
      <c r="K24" s="6">
        <v>45142</v>
      </c>
      <c r="L24" s="23">
        <v>0.67361111111111105</v>
      </c>
      <c r="M24" s="5" t="s">
        <v>141</v>
      </c>
      <c r="N24" s="5" t="s">
        <v>142</v>
      </c>
      <c r="O24" s="8" t="s">
        <v>56</v>
      </c>
      <c r="P24" t="s">
        <v>143</v>
      </c>
      <c r="Q24" t="s">
        <v>144</v>
      </c>
      <c r="R24" s="5" t="s">
        <v>145</v>
      </c>
      <c r="S24" s="9">
        <v>10</v>
      </c>
      <c r="T24" s="9">
        <v>5</v>
      </c>
      <c r="U24" s="9">
        <v>5</v>
      </c>
      <c r="V24" s="10">
        <f>Table1[[#This Row],[MARGIN '[€']]]/Table1[[#This Row],[SALES '[€']]]</f>
        <v>0.5</v>
      </c>
      <c r="W24" s="5">
        <v>9215166336</v>
      </c>
      <c r="X24" s="5" t="s">
        <v>146</v>
      </c>
      <c r="Y24" s="4">
        <v>1360</v>
      </c>
      <c r="AA24" t="s">
        <v>73</v>
      </c>
      <c r="AL24" t="s">
        <v>61</v>
      </c>
    </row>
    <row r="25" spans="1:38" x14ac:dyDescent="0.25">
      <c r="A25" s="4">
        <v>31</v>
      </c>
      <c r="B25" t="s">
        <v>48</v>
      </c>
      <c r="C25" t="s">
        <v>49</v>
      </c>
      <c r="D25" s="5" t="s">
        <v>50</v>
      </c>
      <c r="E25" t="s">
        <v>51</v>
      </c>
      <c r="F25" s="6">
        <v>45140</v>
      </c>
      <c r="G25" s="7">
        <v>0.16666666666666699</v>
      </c>
      <c r="H25" t="s">
        <v>52</v>
      </c>
      <c r="I25" s="5" t="s">
        <v>53</v>
      </c>
      <c r="J25" t="s">
        <v>54</v>
      </c>
      <c r="K25" s="6">
        <v>45140</v>
      </c>
      <c r="L25" s="23">
        <v>0.75</v>
      </c>
      <c r="M25" s="5">
        <v>119572</v>
      </c>
      <c r="N25" s="5" t="s">
        <v>55</v>
      </c>
      <c r="O25" s="8" t="s">
        <v>56</v>
      </c>
      <c r="Q25" t="s">
        <v>57</v>
      </c>
      <c r="R25" s="5" t="s">
        <v>58</v>
      </c>
      <c r="S25" s="9">
        <v>10</v>
      </c>
      <c r="T25" s="9">
        <v>5</v>
      </c>
      <c r="U25" s="9">
        <v>5</v>
      </c>
      <c r="V25" s="10">
        <f>Table1[[#This Row],[MARGIN '[€']]]/Table1[[#This Row],[SALES '[€']]]</f>
        <v>0.5</v>
      </c>
      <c r="W25" s="5">
        <v>9215166351</v>
      </c>
      <c r="X25" s="5" t="s">
        <v>147</v>
      </c>
      <c r="Y25" s="4">
        <v>82</v>
      </c>
      <c r="AA25" t="s">
        <v>60</v>
      </c>
      <c r="AL25" t="s">
        <v>61</v>
      </c>
    </row>
    <row r="26" spans="1:38" x14ac:dyDescent="0.25">
      <c r="A26" s="4">
        <v>31</v>
      </c>
      <c r="B26" t="s">
        <v>48</v>
      </c>
      <c r="C26" t="s">
        <v>49</v>
      </c>
      <c r="D26" s="5" t="s">
        <v>50</v>
      </c>
      <c r="E26" t="s">
        <v>51</v>
      </c>
      <c r="F26" s="6">
        <v>45140</v>
      </c>
      <c r="G26" s="7">
        <v>0.1875</v>
      </c>
      <c r="H26" t="s">
        <v>52</v>
      </c>
      <c r="I26" s="5" t="s">
        <v>53</v>
      </c>
      <c r="J26" t="s">
        <v>54</v>
      </c>
      <c r="K26" s="6">
        <v>45140</v>
      </c>
      <c r="L26" s="23">
        <v>0.75</v>
      </c>
      <c r="M26" s="5">
        <v>119573</v>
      </c>
      <c r="N26" s="5" t="s">
        <v>55</v>
      </c>
      <c r="O26" s="8" t="s">
        <v>56</v>
      </c>
      <c r="Q26" t="s">
        <v>62</v>
      </c>
      <c r="R26" s="5" t="s">
        <v>58</v>
      </c>
      <c r="S26" s="9">
        <v>10</v>
      </c>
      <c r="T26" s="9">
        <v>5</v>
      </c>
      <c r="U26" s="9">
        <v>5</v>
      </c>
      <c r="V26" s="10">
        <f>Table1[[#This Row],[MARGIN '[€']]]/Table1[[#This Row],[SALES '[€']]]</f>
        <v>0.5</v>
      </c>
      <c r="W26" s="5">
        <v>9215166353</v>
      </c>
      <c r="X26" s="5" t="s">
        <v>148</v>
      </c>
      <c r="Y26" s="4">
        <v>82</v>
      </c>
      <c r="AA26" t="s">
        <v>60</v>
      </c>
      <c r="AL26" t="s">
        <v>61</v>
      </c>
    </row>
    <row r="27" spans="1:38" x14ac:dyDescent="0.25">
      <c r="A27" s="4">
        <v>31</v>
      </c>
      <c r="B27" t="s">
        <v>48</v>
      </c>
      <c r="C27" t="s">
        <v>49</v>
      </c>
      <c r="D27" s="5" t="s">
        <v>50</v>
      </c>
      <c r="E27" t="s">
        <v>51</v>
      </c>
      <c r="F27" s="6">
        <v>45140</v>
      </c>
      <c r="G27" s="7">
        <v>0.20833333333333301</v>
      </c>
      <c r="H27" t="s">
        <v>52</v>
      </c>
      <c r="I27" s="5" t="s">
        <v>53</v>
      </c>
      <c r="J27" t="s">
        <v>54</v>
      </c>
      <c r="K27" s="6">
        <v>45140</v>
      </c>
      <c r="L27" s="23">
        <v>0.75</v>
      </c>
      <c r="M27" s="5">
        <v>119574</v>
      </c>
      <c r="N27" s="5" t="s">
        <v>55</v>
      </c>
      <c r="O27" s="8" t="s">
        <v>56</v>
      </c>
      <c r="Q27" t="s">
        <v>64</v>
      </c>
      <c r="R27" s="5" t="s">
        <v>58</v>
      </c>
      <c r="S27" s="9">
        <v>10</v>
      </c>
      <c r="T27" s="9">
        <v>5</v>
      </c>
      <c r="U27" s="9">
        <v>5</v>
      </c>
      <c r="V27" s="10">
        <f>Table1[[#This Row],[MARGIN '[€']]]/Table1[[#This Row],[SALES '[€']]]</f>
        <v>0.5</v>
      </c>
      <c r="W27" s="5">
        <v>9215166355</v>
      </c>
      <c r="X27" s="5" t="s">
        <v>149</v>
      </c>
      <c r="Y27" s="4">
        <v>82</v>
      </c>
      <c r="AA27" t="s">
        <v>60</v>
      </c>
      <c r="AL27" t="s">
        <v>61</v>
      </c>
    </row>
    <row r="28" spans="1:38" x14ac:dyDescent="0.25">
      <c r="A28" s="4">
        <v>31</v>
      </c>
      <c r="B28" t="s">
        <v>48</v>
      </c>
      <c r="C28" t="s">
        <v>49</v>
      </c>
      <c r="D28" s="5" t="s">
        <v>50</v>
      </c>
      <c r="E28" t="s">
        <v>51</v>
      </c>
      <c r="F28" s="6">
        <v>45140</v>
      </c>
      <c r="G28" s="7">
        <v>0.33333333333333298</v>
      </c>
      <c r="H28" t="s">
        <v>52</v>
      </c>
      <c r="I28" s="5" t="s">
        <v>53</v>
      </c>
      <c r="J28" t="s">
        <v>54</v>
      </c>
      <c r="K28" s="6">
        <v>45140</v>
      </c>
      <c r="L28" s="23">
        <v>0.75</v>
      </c>
      <c r="M28" s="5">
        <v>119575</v>
      </c>
      <c r="N28" s="5" t="s">
        <v>55</v>
      </c>
      <c r="O28" s="8" t="s">
        <v>56</v>
      </c>
      <c r="Q28" t="s">
        <v>57</v>
      </c>
      <c r="R28" s="5" t="s">
        <v>58</v>
      </c>
      <c r="S28" s="9">
        <v>10</v>
      </c>
      <c r="T28" s="9">
        <v>5</v>
      </c>
      <c r="U28" s="9">
        <v>5</v>
      </c>
      <c r="V28" s="10">
        <f>Table1[[#This Row],[MARGIN '[€']]]/Table1[[#This Row],[SALES '[€']]]</f>
        <v>0.5</v>
      </c>
      <c r="W28" s="5">
        <v>9215166352</v>
      </c>
      <c r="X28" s="5" t="s">
        <v>147</v>
      </c>
      <c r="Y28" s="4">
        <v>82</v>
      </c>
      <c r="AA28" t="s">
        <v>60</v>
      </c>
      <c r="AL28" t="s">
        <v>61</v>
      </c>
    </row>
    <row r="29" spans="1:38" x14ac:dyDescent="0.25">
      <c r="A29" s="4">
        <v>31</v>
      </c>
      <c r="B29" t="s">
        <v>48</v>
      </c>
      <c r="C29" t="s">
        <v>49</v>
      </c>
      <c r="D29" s="5" t="s">
        <v>50</v>
      </c>
      <c r="E29" t="s">
        <v>51</v>
      </c>
      <c r="F29" s="6">
        <v>45140</v>
      </c>
      <c r="G29" s="7">
        <v>0.34722222222222199</v>
      </c>
      <c r="H29" t="s">
        <v>52</v>
      </c>
      <c r="I29" s="5" t="s">
        <v>53</v>
      </c>
      <c r="J29" t="s">
        <v>54</v>
      </c>
      <c r="K29" s="6">
        <v>45140</v>
      </c>
      <c r="L29" s="23">
        <v>0.75</v>
      </c>
      <c r="M29" s="5">
        <v>119576</v>
      </c>
      <c r="N29" s="5" t="s">
        <v>55</v>
      </c>
      <c r="O29" s="8" t="s">
        <v>56</v>
      </c>
      <c r="Q29" t="s">
        <v>62</v>
      </c>
      <c r="R29" s="5" t="s">
        <v>58</v>
      </c>
      <c r="S29" s="9">
        <v>10</v>
      </c>
      <c r="T29" s="9">
        <v>5</v>
      </c>
      <c r="U29" s="9">
        <v>5</v>
      </c>
      <c r="V29" s="10">
        <f>Table1[[#This Row],[MARGIN '[€']]]/Table1[[#This Row],[SALES '[€']]]</f>
        <v>0.5</v>
      </c>
      <c r="W29" s="5">
        <v>9215166354</v>
      </c>
      <c r="X29" s="5" t="s">
        <v>148</v>
      </c>
      <c r="Y29" s="4">
        <v>82</v>
      </c>
      <c r="AA29" t="s">
        <v>60</v>
      </c>
      <c r="AL29" t="s">
        <v>61</v>
      </c>
    </row>
    <row r="30" spans="1:38" x14ac:dyDescent="0.25">
      <c r="A30" s="4">
        <v>31</v>
      </c>
      <c r="B30" t="s">
        <v>48</v>
      </c>
      <c r="C30" t="s">
        <v>49</v>
      </c>
      <c r="D30" s="5" t="s">
        <v>50</v>
      </c>
      <c r="E30" t="s">
        <v>51</v>
      </c>
      <c r="F30" s="6">
        <v>45140</v>
      </c>
      <c r="G30" s="7">
        <v>0.36111111111111099</v>
      </c>
      <c r="H30" t="s">
        <v>52</v>
      </c>
      <c r="I30" s="5" t="s">
        <v>53</v>
      </c>
      <c r="J30" t="s">
        <v>54</v>
      </c>
      <c r="K30" s="6">
        <v>45140</v>
      </c>
      <c r="L30" s="23">
        <v>0.75</v>
      </c>
      <c r="M30" s="5">
        <v>119577</v>
      </c>
      <c r="N30" s="5" t="s">
        <v>55</v>
      </c>
      <c r="O30" s="8" t="s">
        <v>56</v>
      </c>
      <c r="Q30" t="s">
        <v>64</v>
      </c>
      <c r="R30" s="5" t="s">
        <v>58</v>
      </c>
      <c r="S30" s="9">
        <v>10</v>
      </c>
      <c r="T30" s="9">
        <v>5</v>
      </c>
      <c r="U30" s="9">
        <v>5</v>
      </c>
      <c r="V30" s="10">
        <f>Table1[[#This Row],[MARGIN '[€']]]/Table1[[#This Row],[SALES '[€']]]</f>
        <v>0.5</v>
      </c>
      <c r="W30" s="5">
        <v>9215166356</v>
      </c>
      <c r="X30" s="5" t="s">
        <v>150</v>
      </c>
      <c r="Y30" s="4">
        <v>82</v>
      </c>
      <c r="AA30" t="s">
        <v>60</v>
      </c>
      <c r="AL30" t="s">
        <v>61</v>
      </c>
    </row>
    <row r="31" spans="1:38" x14ac:dyDescent="0.25">
      <c r="A31" s="4">
        <v>31</v>
      </c>
      <c r="B31" t="s">
        <v>48</v>
      </c>
      <c r="C31" t="s">
        <v>49</v>
      </c>
      <c r="D31" s="5" t="s">
        <v>50</v>
      </c>
      <c r="E31" t="s">
        <v>51</v>
      </c>
      <c r="F31" s="6">
        <v>45140</v>
      </c>
      <c r="G31" s="7">
        <v>0.55555555555555602</v>
      </c>
      <c r="H31" t="s">
        <v>52</v>
      </c>
      <c r="I31" s="5" t="s">
        <v>53</v>
      </c>
      <c r="J31" t="s">
        <v>54</v>
      </c>
      <c r="K31" s="6">
        <v>45140</v>
      </c>
      <c r="L31" s="23">
        <v>0.75</v>
      </c>
      <c r="M31" s="5">
        <v>119629</v>
      </c>
      <c r="N31" s="5" t="s">
        <v>55</v>
      </c>
      <c r="O31" s="8" t="s">
        <v>56</v>
      </c>
      <c r="Q31" t="s">
        <v>64</v>
      </c>
      <c r="R31" s="5" t="s">
        <v>58</v>
      </c>
      <c r="S31" s="9">
        <v>10</v>
      </c>
      <c r="T31" s="9">
        <v>5</v>
      </c>
      <c r="U31" s="9">
        <v>5</v>
      </c>
      <c r="V31" s="10">
        <f>Table1[[#This Row],[MARGIN '[€']]]/Table1[[#This Row],[SALES '[€']]]</f>
        <v>0.5</v>
      </c>
      <c r="W31" s="5">
        <v>9215166361</v>
      </c>
      <c r="X31" s="5" t="s">
        <v>151</v>
      </c>
      <c r="Y31" s="4">
        <v>82</v>
      </c>
      <c r="AA31" t="s">
        <v>89</v>
      </c>
      <c r="AL31" t="s">
        <v>61</v>
      </c>
    </row>
    <row r="32" spans="1:38" x14ac:dyDescent="0.25">
      <c r="A32" s="4">
        <v>31</v>
      </c>
      <c r="B32" t="s">
        <v>152</v>
      </c>
      <c r="C32" t="s">
        <v>153</v>
      </c>
      <c r="D32" s="5" t="s">
        <v>154</v>
      </c>
      <c r="E32" t="s">
        <v>155</v>
      </c>
      <c r="F32" s="6">
        <v>45140</v>
      </c>
      <c r="G32" s="7">
        <v>0.5</v>
      </c>
      <c r="H32" t="s">
        <v>49</v>
      </c>
      <c r="I32" s="5" t="s">
        <v>156</v>
      </c>
      <c r="J32" t="s">
        <v>157</v>
      </c>
      <c r="K32" s="6">
        <v>45145</v>
      </c>
      <c r="L32" s="23">
        <v>0.5</v>
      </c>
      <c r="M32" s="5" t="s">
        <v>158</v>
      </c>
      <c r="N32" s="5" t="s">
        <v>142</v>
      </c>
      <c r="O32" s="8" t="s">
        <v>159</v>
      </c>
      <c r="P32">
        <v>150</v>
      </c>
      <c r="Q32" t="s">
        <v>160</v>
      </c>
      <c r="R32" s="5" t="s">
        <v>161</v>
      </c>
      <c r="S32" s="9">
        <v>10</v>
      </c>
      <c r="T32" s="9">
        <v>5</v>
      </c>
      <c r="U32" s="9">
        <v>5</v>
      </c>
      <c r="V32" s="10">
        <f>Table1[[#This Row],[MARGIN '[€']]]/Table1[[#This Row],[SALES '[€']]]</f>
        <v>0.5</v>
      </c>
      <c r="W32" s="5">
        <v>9215166244</v>
      </c>
      <c r="X32" s="5" t="s">
        <v>162</v>
      </c>
      <c r="Y32" s="4">
        <v>1750</v>
      </c>
      <c r="AA32" t="s">
        <v>163</v>
      </c>
      <c r="AD32">
        <v>1</v>
      </c>
      <c r="AE32" s="3">
        <v>0.5</v>
      </c>
      <c r="AL32" t="s">
        <v>61</v>
      </c>
    </row>
    <row r="33" spans="1:38" x14ac:dyDescent="0.25">
      <c r="A33" s="4">
        <v>31</v>
      </c>
      <c r="B33" t="s">
        <v>152</v>
      </c>
      <c r="C33" t="s">
        <v>153</v>
      </c>
      <c r="D33" s="5" t="s">
        <v>164</v>
      </c>
      <c r="E33" t="s">
        <v>165</v>
      </c>
      <c r="F33" s="6">
        <v>45140</v>
      </c>
      <c r="G33" s="7">
        <v>0.5</v>
      </c>
      <c r="H33" t="s">
        <v>166</v>
      </c>
      <c r="I33" s="5" t="s">
        <v>156</v>
      </c>
      <c r="J33" t="s">
        <v>157</v>
      </c>
      <c r="K33" s="6">
        <v>45145</v>
      </c>
      <c r="L33" s="23">
        <v>0.5</v>
      </c>
      <c r="M33" s="5" t="s">
        <v>167</v>
      </c>
      <c r="N33" s="5" t="s">
        <v>142</v>
      </c>
      <c r="O33" s="8" t="s">
        <v>159</v>
      </c>
      <c r="P33">
        <v>58</v>
      </c>
      <c r="Q33" t="s">
        <v>168</v>
      </c>
      <c r="R33" s="5" t="s">
        <v>161</v>
      </c>
      <c r="S33" s="9">
        <v>10</v>
      </c>
      <c r="T33" s="9">
        <v>5</v>
      </c>
      <c r="U33" s="9">
        <v>5</v>
      </c>
      <c r="V33" s="10">
        <f>Table1[[#This Row],[MARGIN '[€']]]/Table1[[#This Row],[SALES '[€']]]</f>
        <v>0.5</v>
      </c>
      <c r="W33" s="5">
        <v>9215166241</v>
      </c>
      <c r="X33" s="5" t="s">
        <v>169</v>
      </c>
      <c r="Y33" s="4">
        <v>1635</v>
      </c>
      <c r="AA33" t="s">
        <v>163</v>
      </c>
      <c r="AL33" t="s">
        <v>61</v>
      </c>
    </row>
    <row r="34" spans="1:38" x14ac:dyDescent="0.25">
      <c r="A34" s="4">
        <v>31</v>
      </c>
      <c r="B34" t="s">
        <v>170</v>
      </c>
      <c r="C34" t="s">
        <v>153</v>
      </c>
      <c r="D34" s="5" t="s">
        <v>171</v>
      </c>
      <c r="E34" t="s">
        <v>172</v>
      </c>
      <c r="F34" s="6">
        <v>45140</v>
      </c>
      <c r="G34" s="7">
        <v>0.5</v>
      </c>
      <c r="H34" t="s">
        <v>49</v>
      </c>
      <c r="I34" s="5" t="s">
        <v>156</v>
      </c>
      <c r="J34" t="s">
        <v>173</v>
      </c>
      <c r="K34" s="6">
        <v>45152</v>
      </c>
      <c r="L34" s="23">
        <v>0.33333333333333298</v>
      </c>
      <c r="N34" s="5" t="s">
        <v>55</v>
      </c>
      <c r="O34" s="8" t="s">
        <v>159</v>
      </c>
      <c r="Q34" t="s">
        <v>174</v>
      </c>
      <c r="R34" s="5" t="s">
        <v>161</v>
      </c>
      <c r="S34" s="9">
        <v>10</v>
      </c>
      <c r="T34" s="9">
        <v>5</v>
      </c>
      <c r="U34" s="9">
        <v>5</v>
      </c>
      <c r="V34" s="10">
        <f>Table1[[#This Row],[MARGIN '[€']]]/Table1[[#This Row],[SALES '[€']]]</f>
        <v>0.5</v>
      </c>
      <c r="W34" s="5">
        <v>3800169128</v>
      </c>
      <c r="X34" s="5" t="s">
        <v>175</v>
      </c>
      <c r="Y34" s="4">
        <v>1776</v>
      </c>
      <c r="AA34" t="s">
        <v>60</v>
      </c>
      <c r="AL34" t="s">
        <v>61</v>
      </c>
    </row>
    <row r="35" spans="1:38" x14ac:dyDescent="0.25">
      <c r="A35" s="4">
        <v>31</v>
      </c>
      <c r="B35" t="s">
        <v>48</v>
      </c>
      <c r="C35" t="s">
        <v>49</v>
      </c>
      <c r="D35" s="5" t="s">
        <v>50</v>
      </c>
      <c r="E35" t="s">
        <v>51</v>
      </c>
      <c r="F35" s="6">
        <v>45140</v>
      </c>
      <c r="G35" s="7">
        <v>0.25</v>
      </c>
      <c r="H35" t="s">
        <v>66</v>
      </c>
      <c r="I35" s="5" t="s">
        <v>67</v>
      </c>
      <c r="J35" t="s">
        <v>68</v>
      </c>
      <c r="K35" s="6">
        <v>45141</v>
      </c>
      <c r="L35" s="23">
        <v>8.3333333333333301E-2</v>
      </c>
      <c r="M35" s="5">
        <v>119500</v>
      </c>
      <c r="N35" s="5" t="s">
        <v>69</v>
      </c>
      <c r="O35" s="8" t="s">
        <v>56</v>
      </c>
      <c r="Q35" t="s">
        <v>176</v>
      </c>
      <c r="R35" s="5" t="s">
        <v>177</v>
      </c>
      <c r="S35" s="9">
        <v>10</v>
      </c>
      <c r="T35" s="9">
        <v>5</v>
      </c>
      <c r="U35" s="9">
        <v>5</v>
      </c>
      <c r="V35" s="10">
        <f>Table1[[#This Row],[MARGIN '[€']]]/Table1[[#This Row],[SALES '[€']]]</f>
        <v>0.5</v>
      </c>
      <c r="W35" s="5">
        <v>9215166332</v>
      </c>
      <c r="X35" s="5" t="s">
        <v>178</v>
      </c>
      <c r="Y35" s="4">
        <v>316</v>
      </c>
      <c r="AA35" t="s">
        <v>73</v>
      </c>
      <c r="AL35" t="s">
        <v>61</v>
      </c>
    </row>
    <row r="36" spans="1:38" x14ac:dyDescent="0.25">
      <c r="A36" s="4">
        <v>31</v>
      </c>
      <c r="B36" t="s">
        <v>48</v>
      </c>
      <c r="C36" t="s">
        <v>49</v>
      </c>
      <c r="D36" s="5" t="s">
        <v>50</v>
      </c>
      <c r="E36" t="s">
        <v>51</v>
      </c>
      <c r="F36" s="6">
        <v>45140</v>
      </c>
      <c r="G36" s="7">
        <v>0.65277777777777801</v>
      </c>
      <c r="H36" t="s">
        <v>66</v>
      </c>
      <c r="I36" s="5" t="s">
        <v>67</v>
      </c>
      <c r="J36" t="s">
        <v>68</v>
      </c>
      <c r="K36" s="6">
        <v>45141</v>
      </c>
      <c r="L36" s="23">
        <v>0.25</v>
      </c>
      <c r="M36" s="5">
        <v>119501</v>
      </c>
      <c r="N36" s="5" t="s">
        <v>69</v>
      </c>
      <c r="O36" s="8" t="s">
        <v>56</v>
      </c>
      <c r="Q36" t="s">
        <v>179</v>
      </c>
      <c r="R36" s="5" t="s">
        <v>177</v>
      </c>
      <c r="S36" s="9">
        <v>10</v>
      </c>
      <c r="T36" s="9">
        <v>5</v>
      </c>
      <c r="U36" s="9">
        <v>5</v>
      </c>
      <c r="V36" s="10">
        <f>Table1[[#This Row],[MARGIN '[€']]]/Table1[[#This Row],[SALES '[€']]]</f>
        <v>0.5</v>
      </c>
      <c r="W36" s="5">
        <v>9215166333</v>
      </c>
      <c r="X36" s="5" t="s">
        <v>180</v>
      </c>
      <c r="Y36" s="4">
        <v>316</v>
      </c>
      <c r="AA36" t="s">
        <v>73</v>
      </c>
      <c r="AL36" t="s">
        <v>61</v>
      </c>
    </row>
    <row r="37" spans="1:38" x14ac:dyDescent="0.25">
      <c r="A37" s="4">
        <v>31</v>
      </c>
      <c r="B37" t="s">
        <v>48</v>
      </c>
      <c r="C37" t="s">
        <v>49</v>
      </c>
      <c r="D37" s="5" t="s">
        <v>50</v>
      </c>
      <c r="E37" t="s">
        <v>51</v>
      </c>
      <c r="F37" s="6">
        <v>45140</v>
      </c>
      <c r="G37" s="7">
        <v>0.66666666666666696</v>
      </c>
      <c r="H37" t="s">
        <v>66</v>
      </c>
      <c r="I37" s="5" t="s">
        <v>67</v>
      </c>
      <c r="J37" t="s">
        <v>68</v>
      </c>
      <c r="K37" s="6">
        <v>45141</v>
      </c>
      <c r="L37" s="23">
        <v>0.41666666666666702</v>
      </c>
      <c r="M37" s="5">
        <v>119502</v>
      </c>
      <c r="N37" s="5" t="s">
        <v>69</v>
      </c>
      <c r="O37" s="8" t="s">
        <v>56</v>
      </c>
      <c r="P37" t="s">
        <v>76</v>
      </c>
      <c r="Q37" t="s">
        <v>181</v>
      </c>
      <c r="R37" s="5" t="s">
        <v>177</v>
      </c>
      <c r="S37" s="9">
        <v>10</v>
      </c>
      <c r="T37" s="9">
        <v>5</v>
      </c>
      <c r="U37" s="9">
        <v>5</v>
      </c>
      <c r="V37" s="10">
        <f>Table1[[#This Row],[MARGIN '[€']]]/Table1[[#This Row],[SALES '[€']]]</f>
        <v>0.5</v>
      </c>
      <c r="W37" s="5" t="s">
        <v>182</v>
      </c>
      <c r="X37" s="5" t="s">
        <v>183</v>
      </c>
      <c r="Y37" s="4">
        <v>316</v>
      </c>
      <c r="AA37" t="s">
        <v>73</v>
      </c>
      <c r="AL37" t="s">
        <v>61</v>
      </c>
    </row>
    <row r="38" spans="1:38" x14ac:dyDescent="0.25">
      <c r="A38" s="4">
        <v>31</v>
      </c>
      <c r="B38" t="s">
        <v>48</v>
      </c>
      <c r="C38" t="s">
        <v>49</v>
      </c>
      <c r="D38" s="5" t="s">
        <v>50</v>
      </c>
      <c r="E38" t="s">
        <v>51</v>
      </c>
      <c r="F38" s="6">
        <v>45140</v>
      </c>
      <c r="G38" s="7" t="s">
        <v>184</v>
      </c>
      <c r="H38" t="s">
        <v>66</v>
      </c>
      <c r="I38" s="5" t="s">
        <v>67</v>
      </c>
      <c r="J38" t="s">
        <v>68</v>
      </c>
      <c r="K38" s="6">
        <v>45141</v>
      </c>
      <c r="L38" s="23">
        <v>0.83333333333333304</v>
      </c>
      <c r="M38" s="5">
        <v>119506</v>
      </c>
      <c r="N38" s="5" t="s">
        <v>69</v>
      </c>
      <c r="O38" s="8" t="s">
        <v>56</v>
      </c>
      <c r="P38" t="s">
        <v>76</v>
      </c>
      <c r="Q38" t="s">
        <v>185</v>
      </c>
      <c r="R38" s="5" t="s">
        <v>71</v>
      </c>
      <c r="S38" s="9">
        <v>10</v>
      </c>
      <c r="T38" s="9">
        <v>5</v>
      </c>
      <c r="U38" s="9">
        <v>5</v>
      </c>
      <c r="V38" s="10">
        <f>Table1[[#This Row],[MARGIN '[€']]]/Table1[[#This Row],[SALES '[€']]]</f>
        <v>0.5</v>
      </c>
      <c r="W38" s="5" t="s">
        <v>186</v>
      </c>
      <c r="X38" s="5" t="s">
        <v>187</v>
      </c>
      <c r="Y38" s="4">
        <v>316</v>
      </c>
      <c r="AA38" t="s">
        <v>73</v>
      </c>
      <c r="AL38" t="s">
        <v>61</v>
      </c>
    </row>
    <row r="39" spans="1:38" x14ac:dyDescent="0.25">
      <c r="A39" s="4">
        <v>31</v>
      </c>
      <c r="B39" t="s">
        <v>48</v>
      </c>
      <c r="C39" t="s">
        <v>49</v>
      </c>
      <c r="D39" s="5" t="s">
        <v>50</v>
      </c>
      <c r="E39" t="s">
        <v>51</v>
      </c>
      <c r="F39" s="6">
        <v>45140</v>
      </c>
      <c r="G39" s="7">
        <v>0.26388888888888901</v>
      </c>
      <c r="H39" t="s">
        <v>90</v>
      </c>
      <c r="I39" s="5" t="s">
        <v>91</v>
      </c>
      <c r="J39" t="s">
        <v>92</v>
      </c>
      <c r="K39" s="6">
        <v>45140</v>
      </c>
      <c r="L39" s="23">
        <v>0.61458333333333304</v>
      </c>
      <c r="M39" s="5">
        <v>119550</v>
      </c>
      <c r="N39" s="5" t="s">
        <v>69</v>
      </c>
      <c r="O39" s="8" t="s">
        <v>56</v>
      </c>
      <c r="Q39" t="s">
        <v>188</v>
      </c>
      <c r="R39" s="5" t="s">
        <v>94</v>
      </c>
      <c r="S39" s="9">
        <v>10</v>
      </c>
      <c r="T39" s="9">
        <v>5</v>
      </c>
      <c r="U39" s="9">
        <v>5</v>
      </c>
      <c r="V39" s="10">
        <f>Table1[[#This Row],[MARGIN '[€']]]/Table1[[#This Row],[SALES '[€']]]</f>
        <v>0.5</v>
      </c>
      <c r="W39" s="5">
        <v>9215166344</v>
      </c>
      <c r="X39" s="5" t="s">
        <v>189</v>
      </c>
      <c r="Y39" s="4">
        <v>441</v>
      </c>
      <c r="Z39" t="s">
        <v>190</v>
      </c>
      <c r="AA39" t="s">
        <v>191</v>
      </c>
      <c r="AL39" t="s">
        <v>61</v>
      </c>
    </row>
    <row r="40" spans="1:38" x14ac:dyDescent="0.25">
      <c r="A40" s="4">
        <v>31</v>
      </c>
      <c r="B40" t="s">
        <v>48</v>
      </c>
      <c r="C40" t="s">
        <v>49</v>
      </c>
      <c r="D40" s="5" t="s">
        <v>50</v>
      </c>
      <c r="E40" t="s">
        <v>51</v>
      </c>
      <c r="F40" s="6">
        <v>45140</v>
      </c>
      <c r="G40" s="7">
        <v>0.22916666666666699</v>
      </c>
      <c r="H40" t="s">
        <v>90</v>
      </c>
      <c r="I40" s="5" t="s">
        <v>91</v>
      </c>
      <c r="J40" t="s">
        <v>92</v>
      </c>
      <c r="K40" s="6">
        <v>45140</v>
      </c>
      <c r="L40" s="23">
        <v>0.55208333333333304</v>
      </c>
      <c r="M40" s="5">
        <v>119551</v>
      </c>
      <c r="N40" s="5" t="s">
        <v>69</v>
      </c>
      <c r="O40" s="8" t="s">
        <v>56</v>
      </c>
      <c r="Q40" t="s">
        <v>192</v>
      </c>
      <c r="R40" s="5" t="s">
        <v>98</v>
      </c>
      <c r="S40" s="9">
        <v>10</v>
      </c>
      <c r="T40" s="9">
        <v>5</v>
      </c>
      <c r="U40" s="9">
        <v>5</v>
      </c>
      <c r="V40" s="10">
        <f>Table1[[#This Row],[MARGIN '[€']]]/Table1[[#This Row],[SALES '[€']]]</f>
        <v>0.5</v>
      </c>
      <c r="W40" s="5">
        <v>9215166341</v>
      </c>
      <c r="X40" s="5" t="s">
        <v>193</v>
      </c>
      <c r="Y40" s="4">
        <v>441</v>
      </c>
      <c r="Z40" t="s">
        <v>194</v>
      </c>
      <c r="AA40" t="s">
        <v>191</v>
      </c>
      <c r="AL40" t="s">
        <v>61</v>
      </c>
    </row>
    <row r="41" spans="1:38" x14ac:dyDescent="0.25">
      <c r="A41" s="4">
        <v>31</v>
      </c>
      <c r="B41" t="s">
        <v>48</v>
      </c>
      <c r="C41" t="s">
        <v>49</v>
      </c>
      <c r="D41" s="5" t="s">
        <v>50</v>
      </c>
      <c r="E41" t="s">
        <v>51</v>
      </c>
      <c r="F41" s="6">
        <v>45140</v>
      </c>
      <c r="G41" s="7">
        <v>0.91666666666666696</v>
      </c>
      <c r="H41" t="s">
        <v>90</v>
      </c>
      <c r="I41" s="5" t="s">
        <v>91</v>
      </c>
      <c r="J41" t="s">
        <v>92</v>
      </c>
      <c r="K41" s="6">
        <v>45141</v>
      </c>
      <c r="L41" s="23">
        <v>0.24652777777777801</v>
      </c>
      <c r="M41" s="5">
        <v>119553</v>
      </c>
      <c r="N41" s="5" t="s">
        <v>55</v>
      </c>
      <c r="O41" s="8" t="s">
        <v>56</v>
      </c>
      <c r="Q41" t="s">
        <v>93</v>
      </c>
      <c r="R41" s="5" t="s">
        <v>94</v>
      </c>
      <c r="S41" s="9">
        <v>10</v>
      </c>
      <c r="T41" s="9">
        <v>5</v>
      </c>
      <c r="U41" s="9">
        <v>5</v>
      </c>
      <c r="V41" s="10">
        <f>Table1[[#This Row],[MARGIN '[€']]]/Table1[[#This Row],[SALES '[€']]]</f>
        <v>0.5</v>
      </c>
      <c r="W41" s="5">
        <v>9215166345</v>
      </c>
      <c r="X41" s="5" t="s">
        <v>195</v>
      </c>
      <c r="Y41" s="4">
        <v>441</v>
      </c>
      <c r="Z41" t="s">
        <v>196</v>
      </c>
      <c r="AA41" t="s">
        <v>191</v>
      </c>
      <c r="AL41" t="s">
        <v>61</v>
      </c>
    </row>
    <row r="42" spans="1:38" x14ac:dyDescent="0.25">
      <c r="A42" s="4">
        <v>31</v>
      </c>
      <c r="B42" t="s">
        <v>48</v>
      </c>
      <c r="C42" t="s">
        <v>49</v>
      </c>
      <c r="D42" s="5" t="s">
        <v>50</v>
      </c>
      <c r="E42" t="s">
        <v>51</v>
      </c>
      <c r="F42" s="6">
        <v>45140</v>
      </c>
      <c r="G42" s="7">
        <v>0.54166666666666696</v>
      </c>
      <c r="H42" t="s">
        <v>90</v>
      </c>
      <c r="I42" s="5" t="s">
        <v>91</v>
      </c>
      <c r="J42" t="s">
        <v>92</v>
      </c>
      <c r="K42" s="6">
        <v>45141</v>
      </c>
      <c r="L42" s="23">
        <v>0.31944444444444398</v>
      </c>
      <c r="M42" s="5">
        <v>119554</v>
      </c>
      <c r="N42" s="5" t="s">
        <v>69</v>
      </c>
      <c r="O42" s="8" t="s">
        <v>56</v>
      </c>
      <c r="Q42" t="s">
        <v>197</v>
      </c>
      <c r="R42" s="5" t="s">
        <v>98</v>
      </c>
      <c r="S42" s="9">
        <v>10</v>
      </c>
      <c r="T42" s="9">
        <v>5</v>
      </c>
      <c r="U42" s="9">
        <v>5</v>
      </c>
      <c r="V42" s="10">
        <f>Table1[[#This Row],[MARGIN '[€']]]/Table1[[#This Row],[SALES '[€']]]</f>
        <v>0.5</v>
      </c>
      <c r="W42" s="5">
        <v>9215166343</v>
      </c>
      <c r="X42" s="5" t="s">
        <v>198</v>
      </c>
      <c r="Y42" s="4">
        <v>441</v>
      </c>
      <c r="Z42" t="s">
        <v>199</v>
      </c>
      <c r="AA42" t="s">
        <v>191</v>
      </c>
      <c r="AL42" t="s">
        <v>61</v>
      </c>
    </row>
    <row r="43" spans="1:38" x14ac:dyDescent="0.25">
      <c r="A43" s="4">
        <v>31</v>
      </c>
      <c r="B43" t="s">
        <v>48</v>
      </c>
      <c r="C43" t="s">
        <v>49</v>
      </c>
      <c r="D43" s="5" t="s">
        <v>50</v>
      </c>
      <c r="E43" t="s">
        <v>51</v>
      </c>
      <c r="F43" s="6">
        <v>45140</v>
      </c>
      <c r="G43" s="7">
        <v>0.43055555555555602</v>
      </c>
      <c r="H43" t="s">
        <v>90</v>
      </c>
      <c r="I43" s="5" t="s">
        <v>91</v>
      </c>
      <c r="J43" t="s">
        <v>92</v>
      </c>
      <c r="K43" s="6">
        <v>45141</v>
      </c>
      <c r="L43" s="23">
        <v>0.38194444444444398</v>
      </c>
      <c r="M43" s="5">
        <v>119555</v>
      </c>
      <c r="N43" s="5" t="s">
        <v>69</v>
      </c>
      <c r="O43" s="8" t="s">
        <v>56</v>
      </c>
      <c r="Q43" t="s">
        <v>200</v>
      </c>
      <c r="R43" s="5" t="s">
        <v>201</v>
      </c>
      <c r="S43" s="9">
        <v>10</v>
      </c>
      <c r="T43" s="9">
        <v>5</v>
      </c>
      <c r="U43" s="9">
        <v>5</v>
      </c>
      <c r="V43" s="10">
        <f>Table1[[#This Row],[MARGIN '[€']]]/Table1[[#This Row],[SALES '[€']]]</f>
        <v>0.5</v>
      </c>
      <c r="W43" s="5">
        <v>9215166347</v>
      </c>
      <c r="X43" s="5" t="s">
        <v>202</v>
      </c>
      <c r="Y43" s="4">
        <v>441</v>
      </c>
      <c r="Z43" t="s">
        <v>203</v>
      </c>
      <c r="AA43" t="s">
        <v>191</v>
      </c>
      <c r="AL43" t="s">
        <v>61</v>
      </c>
    </row>
    <row r="44" spans="1:38" x14ac:dyDescent="0.25">
      <c r="A44" s="4">
        <v>31</v>
      </c>
      <c r="B44" t="s">
        <v>48</v>
      </c>
      <c r="C44" t="s">
        <v>49</v>
      </c>
      <c r="D44" s="5" t="s">
        <v>50</v>
      </c>
      <c r="E44" t="s">
        <v>51</v>
      </c>
      <c r="F44" s="6">
        <v>45140</v>
      </c>
      <c r="G44" s="7">
        <v>0.375</v>
      </c>
      <c r="H44" t="s">
        <v>90</v>
      </c>
      <c r="I44" s="5" t="s">
        <v>91</v>
      </c>
      <c r="J44" t="s">
        <v>92</v>
      </c>
      <c r="K44" s="6">
        <v>45141</v>
      </c>
      <c r="L44" s="23">
        <v>0.55208333333333304</v>
      </c>
      <c r="M44" s="5">
        <v>119556</v>
      </c>
      <c r="N44" s="5" t="s">
        <v>69</v>
      </c>
      <c r="O44" s="8" t="s">
        <v>56</v>
      </c>
      <c r="Q44" t="s">
        <v>129</v>
      </c>
      <c r="R44" s="5" t="s">
        <v>94</v>
      </c>
      <c r="S44" s="9">
        <v>10</v>
      </c>
      <c r="T44" s="9">
        <v>5</v>
      </c>
      <c r="U44" s="9">
        <v>5</v>
      </c>
      <c r="V44" s="10">
        <f>Table1[[#This Row],[MARGIN '[€']]]/Table1[[#This Row],[SALES '[€']]]</f>
        <v>0.5</v>
      </c>
      <c r="W44" s="5">
        <v>9215166346</v>
      </c>
      <c r="X44" s="5" t="s">
        <v>204</v>
      </c>
      <c r="Y44" s="4">
        <v>441</v>
      </c>
      <c r="Z44" t="s">
        <v>205</v>
      </c>
      <c r="AA44" t="s">
        <v>191</v>
      </c>
      <c r="AL44" t="s">
        <v>61</v>
      </c>
    </row>
    <row r="45" spans="1:38" x14ac:dyDescent="0.25">
      <c r="A45" s="4">
        <v>31</v>
      </c>
      <c r="B45" t="s">
        <v>48</v>
      </c>
      <c r="C45" t="s">
        <v>49</v>
      </c>
      <c r="D45" s="5" t="s">
        <v>50</v>
      </c>
      <c r="E45" t="s">
        <v>51</v>
      </c>
      <c r="F45" s="6">
        <v>45140</v>
      </c>
      <c r="G45" s="7">
        <v>0.60416666666666696</v>
      </c>
      <c r="H45" t="s">
        <v>90</v>
      </c>
      <c r="I45" s="5" t="s">
        <v>91</v>
      </c>
      <c r="J45" t="s">
        <v>92</v>
      </c>
      <c r="K45" s="6">
        <v>45141</v>
      </c>
      <c r="L45" s="23">
        <v>0.48958333333333298</v>
      </c>
      <c r="M45" s="5">
        <v>119557</v>
      </c>
      <c r="N45" s="5" t="s">
        <v>69</v>
      </c>
      <c r="O45" s="8" t="s">
        <v>56</v>
      </c>
      <c r="Q45" t="s">
        <v>206</v>
      </c>
      <c r="R45" s="5" t="s">
        <v>207</v>
      </c>
      <c r="S45" s="9">
        <v>10</v>
      </c>
      <c r="T45" s="9">
        <v>5</v>
      </c>
      <c r="U45" s="9">
        <v>5</v>
      </c>
      <c r="V45" s="10">
        <f>Table1[[#This Row],[MARGIN '[€']]]/Table1[[#This Row],[SALES '[€']]]</f>
        <v>0.5</v>
      </c>
      <c r="W45" s="5">
        <v>9215166348</v>
      </c>
      <c r="X45" s="5" t="s">
        <v>208</v>
      </c>
      <c r="Y45" s="4">
        <v>441</v>
      </c>
      <c r="Z45" t="s">
        <v>209</v>
      </c>
      <c r="AA45" t="s">
        <v>191</v>
      </c>
      <c r="AL45" t="s">
        <v>61</v>
      </c>
    </row>
    <row r="46" spans="1:38" x14ac:dyDescent="0.25">
      <c r="A46" s="4">
        <v>31</v>
      </c>
      <c r="B46" t="s">
        <v>48</v>
      </c>
      <c r="C46" t="s">
        <v>49</v>
      </c>
      <c r="D46" s="5" t="s">
        <v>50</v>
      </c>
      <c r="E46" t="s">
        <v>51</v>
      </c>
      <c r="F46" s="6">
        <v>45140</v>
      </c>
      <c r="G46" s="7">
        <v>0.79166666666666696</v>
      </c>
      <c r="H46" t="s">
        <v>90</v>
      </c>
      <c r="I46" s="5" t="s">
        <v>91</v>
      </c>
      <c r="J46" t="s">
        <v>92</v>
      </c>
      <c r="K46" s="6">
        <v>45141</v>
      </c>
      <c r="L46" s="23" t="s">
        <v>210</v>
      </c>
      <c r="M46" s="5">
        <v>119558</v>
      </c>
      <c r="N46" s="5" t="s">
        <v>69</v>
      </c>
      <c r="O46" s="8" t="s">
        <v>56</v>
      </c>
      <c r="Q46" t="s">
        <v>211</v>
      </c>
      <c r="R46" s="5" t="s">
        <v>135</v>
      </c>
      <c r="S46" s="9">
        <v>10</v>
      </c>
      <c r="T46" s="9">
        <v>5</v>
      </c>
      <c r="U46" s="9">
        <v>5</v>
      </c>
      <c r="V46" s="10">
        <f>Table1[[#This Row],[MARGIN '[€']]]/Table1[[#This Row],[SALES '[€']]]</f>
        <v>0.5</v>
      </c>
      <c r="W46" s="24">
        <v>9215166191</v>
      </c>
      <c r="X46" s="5" t="s">
        <v>212</v>
      </c>
      <c r="Y46" s="4">
        <v>441</v>
      </c>
      <c r="Z46" t="s">
        <v>213</v>
      </c>
      <c r="AA46" t="s">
        <v>60</v>
      </c>
      <c r="AL46" t="s">
        <v>214</v>
      </c>
    </row>
    <row r="47" spans="1:38" x14ac:dyDescent="0.25">
      <c r="A47" s="4">
        <v>31</v>
      </c>
      <c r="B47" t="s">
        <v>48</v>
      </c>
      <c r="C47" t="s">
        <v>49</v>
      </c>
      <c r="D47" s="5" t="s">
        <v>50</v>
      </c>
      <c r="E47" t="s">
        <v>51</v>
      </c>
      <c r="F47" s="6">
        <v>45140</v>
      </c>
      <c r="H47" t="s">
        <v>90</v>
      </c>
      <c r="I47" s="5" t="s">
        <v>91</v>
      </c>
      <c r="J47" t="s">
        <v>92</v>
      </c>
      <c r="K47" s="6">
        <v>45141</v>
      </c>
      <c r="L47" s="23" t="s">
        <v>210</v>
      </c>
      <c r="M47" s="5">
        <v>119559</v>
      </c>
      <c r="N47" s="5" t="s">
        <v>69</v>
      </c>
      <c r="O47" s="8" t="s">
        <v>56</v>
      </c>
      <c r="R47" s="5" t="s">
        <v>94</v>
      </c>
      <c r="S47" s="9">
        <v>10</v>
      </c>
      <c r="T47" s="9">
        <v>5</v>
      </c>
      <c r="U47" s="9">
        <v>5</v>
      </c>
      <c r="V47" s="10">
        <f>Table1[[#This Row],[MARGIN '[€']]]/Table1[[#This Row],[SALES '[€']]]</f>
        <v>0.5</v>
      </c>
      <c r="Y47" s="4">
        <v>441</v>
      </c>
      <c r="Z47" t="s">
        <v>215</v>
      </c>
      <c r="AA47" t="s">
        <v>191</v>
      </c>
      <c r="AL47" t="s">
        <v>214</v>
      </c>
    </row>
    <row r="48" spans="1:38" x14ac:dyDescent="0.25">
      <c r="A48" s="4">
        <v>31</v>
      </c>
      <c r="B48" t="s">
        <v>48</v>
      </c>
      <c r="C48" t="s">
        <v>49</v>
      </c>
      <c r="D48" s="5" t="s">
        <v>50</v>
      </c>
      <c r="E48" t="s">
        <v>51</v>
      </c>
      <c r="F48" s="6">
        <v>45140</v>
      </c>
      <c r="G48" s="7">
        <v>0.625</v>
      </c>
      <c r="H48" t="s">
        <v>216</v>
      </c>
      <c r="I48" s="5">
        <v>19</v>
      </c>
      <c r="J48" t="s">
        <v>217</v>
      </c>
      <c r="K48" s="6">
        <v>45141</v>
      </c>
      <c r="L48" s="23">
        <v>0.60416666666666696</v>
      </c>
      <c r="M48" s="5">
        <v>119608</v>
      </c>
      <c r="N48" s="5" t="s">
        <v>69</v>
      </c>
      <c r="O48" s="8" t="s">
        <v>56</v>
      </c>
      <c r="Q48" t="s">
        <v>218</v>
      </c>
      <c r="R48" s="5" t="s">
        <v>219</v>
      </c>
      <c r="S48" s="9">
        <v>10</v>
      </c>
      <c r="T48" s="9">
        <v>5</v>
      </c>
      <c r="U48" s="9">
        <v>5</v>
      </c>
      <c r="V48" s="10">
        <f>Table1[[#This Row],[MARGIN '[€']]]/Table1[[#This Row],[SALES '[€']]]</f>
        <v>0.5</v>
      </c>
      <c r="W48" s="5">
        <v>9215166339</v>
      </c>
      <c r="X48" s="5" t="s">
        <v>220</v>
      </c>
      <c r="Y48" s="4">
        <v>629</v>
      </c>
      <c r="AA48" t="s">
        <v>89</v>
      </c>
      <c r="AL48" t="s">
        <v>61</v>
      </c>
    </row>
    <row r="49" spans="1:38" x14ac:dyDescent="0.25">
      <c r="A49" s="4">
        <v>31</v>
      </c>
      <c r="B49" t="s">
        <v>48</v>
      </c>
      <c r="C49" t="s">
        <v>49</v>
      </c>
      <c r="D49" s="5" t="s">
        <v>102</v>
      </c>
      <c r="E49" t="s">
        <v>103</v>
      </c>
      <c r="F49" s="6">
        <v>45140</v>
      </c>
      <c r="G49" s="7">
        <v>0.40625</v>
      </c>
      <c r="H49" t="s">
        <v>216</v>
      </c>
      <c r="I49" s="5">
        <v>19</v>
      </c>
      <c r="J49" t="s">
        <v>217</v>
      </c>
      <c r="K49" s="6">
        <v>45142</v>
      </c>
      <c r="L49" s="23">
        <v>0.60416666666666696</v>
      </c>
      <c r="M49" s="5">
        <v>119175</v>
      </c>
      <c r="N49" s="5" t="s">
        <v>69</v>
      </c>
      <c r="O49" s="8" t="s">
        <v>56</v>
      </c>
      <c r="P49" t="s">
        <v>76</v>
      </c>
      <c r="Q49" t="s">
        <v>221</v>
      </c>
      <c r="R49" s="5" t="s">
        <v>222</v>
      </c>
      <c r="S49" s="9">
        <v>10</v>
      </c>
      <c r="T49" s="9">
        <v>5</v>
      </c>
      <c r="U49" s="9">
        <v>5</v>
      </c>
      <c r="V49" s="10">
        <f>Table1[[#This Row],[MARGIN '[€']]]/Table1[[#This Row],[SALES '[€']]]</f>
        <v>0.5</v>
      </c>
      <c r="W49" s="5" t="s">
        <v>223</v>
      </c>
      <c r="X49" s="5" t="s">
        <v>224</v>
      </c>
      <c r="Y49" s="4">
        <v>629</v>
      </c>
      <c r="AA49" t="s">
        <v>89</v>
      </c>
      <c r="AL49" t="s">
        <v>61</v>
      </c>
    </row>
    <row r="50" spans="1:38" x14ac:dyDescent="0.25">
      <c r="A50" s="4">
        <v>31</v>
      </c>
      <c r="B50" t="s">
        <v>137</v>
      </c>
      <c r="C50" t="s">
        <v>49</v>
      </c>
      <c r="D50" s="5" t="s">
        <v>50</v>
      </c>
      <c r="E50" t="s">
        <v>51</v>
      </c>
      <c r="F50" s="6">
        <v>45141</v>
      </c>
      <c r="G50" s="7">
        <v>0.375</v>
      </c>
      <c r="H50" t="s">
        <v>138</v>
      </c>
      <c r="I50" s="5" t="s">
        <v>139</v>
      </c>
      <c r="J50" t="s">
        <v>140</v>
      </c>
      <c r="K50" s="6">
        <v>45145</v>
      </c>
      <c r="L50" s="23">
        <v>0.57638888888888895</v>
      </c>
      <c r="M50" s="5" t="s">
        <v>225</v>
      </c>
      <c r="N50" s="5" t="s">
        <v>142</v>
      </c>
      <c r="O50" s="8" t="s">
        <v>56</v>
      </c>
      <c r="P50" t="s">
        <v>143</v>
      </c>
      <c r="Q50" t="s">
        <v>226</v>
      </c>
      <c r="R50" s="5" t="s">
        <v>145</v>
      </c>
      <c r="S50" s="9">
        <v>10</v>
      </c>
      <c r="T50" s="9">
        <v>5</v>
      </c>
      <c r="U50" s="9">
        <v>5</v>
      </c>
      <c r="V50" s="10">
        <f>Table1[[#This Row],[MARGIN '[€']]]/Table1[[#This Row],[SALES '[€']]]</f>
        <v>0.5</v>
      </c>
      <c r="W50" s="5">
        <v>9215166337</v>
      </c>
      <c r="X50" s="5" t="s">
        <v>227</v>
      </c>
      <c r="Y50" s="4">
        <v>1360</v>
      </c>
      <c r="AA50" t="s">
        <v>73</v>
      </c>
      <c r="AL50" t="s">
        <v>61</v>
      </c>
    </row>
    <row r="51" spans="1:38" x14ac:dyDescent="0.25">
      <c r="A51" s="4">
        <v>31</v>
      </c>
      <c r="B51" t="s">
        <v>137</v>
      </c>
      <c r="C51" t="s">
        <v>49</v>
      </c>
      <c r="D51" s="5" t="s">
        <v>50</v>
      </c>
      <c r="E51" t="s">
        <v>51</v>
      </c>
      <c r="F51" s="6">
        <v>45141</v>
      </c>
      <c r="G51" s="7">
        <v>0.54166666666666696</v>
      </c>
      <c r="H51" t="s">
        <v>138</v>
      </c>
      <c r="I51" s="5" t="s">
        <v>139</v>
      </c>
      <c r="J51" t="s">
        <v>140</v>
      </c>
      <c r="K51" s="6">
        <v>45146</v>
      </c>
      <c r="L51" s="23">
        <v>0.243055555555556</v>
      </c>
      <c r="M51" s="5" t="s">
        <v>228</v>
      </c>
      <c r="N51" s="5" t="s">
        <v>142</v>
      </c>
      <c r="O51" s="8" t="s">
        <v>56</v>
      </c>
      <c r="P51" t="s">
        <v>143</v>
      </c>
      <c r="Q51" t="s">
        <v>229</v>
      </c>
      <c r="R51" s="5" t="s">
        <v>145</v>
      </c>
      <c r="S51" s="9">
        <v>10</v>
      </c>
      <c r="T51" s="9">
        <v>5</v>
      </c>
      <c r="U51" s="9">
        <v>5</v>
      </c>
      <c r="V51" s="10">
        <f>Table1[[#This Row],[MARGIN '[€']]]/Table1[[#This Row],[SALES '[€']]]</f>
        <v>0.5</v>
      </c>
      <c r="W51" s="5">
        <v>9215166349</v>
      </c>
      <c r="X51" s="5" t="s">
        <v>230</v>
      </c>
      <c r="Y51" s="4">
        <v>1360</v>
      </c>
      <c r="AA51" t="s">
        <v>60</v>
      </c>
      <c r="AL51" t="s">
        <v>61</v>
      </c>
    </row>
    <row r="52" spans="1:38" x14ac:dyDescent="0.25">
      <c r="A52" s="4">
        <v>31</v>
      </c>
      <c r="B52" t="s">
        <v>48</v>
      </c>
      <c r="C52" t="s">
        <v>49</v>
      </c>
      <c r="D52" s="5" t="s">
        <v>50</v>
      </c>
      <c r="E52" t="s">
        <v>51</v>
      </c>
      <c r="F52" s="6">
        <v>45141</v>
      </c>
      <c r="G52" s="7">
        <v>0.16666666666666699</v>
      </c>
      <c r="H52" t="s">
        <v>52</v>
      </c>
      <c r="I52" s="5" t="s">
        <v>53</v>
      </c>
      <c r="J52" t="s">
        <v>54</v>
      </c>
      <c r="K52" s="6">
        <v>45141</v>
      </c>
      <c r="L52" s="23">
        <v>0.75</v>
      </c>
      <c r="M52" s="5">
        <v>119578</v>
      </c>
      <c r="N52" s="5" t="s">
        <v>55</v>
      </c>
      <c r="O52" s="8" t="s">
        <v>56</v>
      </c>
      <c r="Q52" t="s">
        <v>64</v>
      </c>
      <c r="R52" s="5" t="s">
        <v>58</v>
      </c>
      <c r="S52" s="9">
        <v>10</v>
      </c>
      <c r="T52" s="9">
        <v>5</v>
      </c>
      <c r="U52" s="9">
        <v>5</v>
      </c>
      <c r="V52" s="10">
        <f>Table1[[#This Row],[MARGIN '[€']]]/Table1[[#This Row],[SALES '[€']]]</f>
        <v>0.5</v>
      </c>
      <c r="W52" s="5">
        <v>9215166362</v>
      </c>
      <c r="X52" s="5" t="s">
        <v>231</v>
      </c>
      <c r="Y52" s="4">
        <v>82</v>
      </c>
      <c r="AA52" t="s">
        <v>60</v>
      </c>
      <c r="AL52" t="s">
        <v>61</v>
      </c>
    </row>
    <row r="53" spans="1:38" x14ac:dyDescent="0.25">
      <c r="A53" s="4">
        <v>31</v>
      </c>
      <c r="B53" t="s">
        <v>48</v>
      </c>
      <c r="C53" t="s">
        <v>49</v>
      </c>
      <c r="D53" s="5" t="s">
        <v>50</v>
      </c>
      <c r="E53" t="s">
        <v>51</v>
      </c>
      <c r="F53" s="6">
        <v>45141</v>
      </c>
      <c r="G53" s="7">
        <v>0.1875</v>
      </c>
      <c r="H53" t="s">
        <v>52</v>
      </c>
      <c r="I53" s="5" t="s">
        <v>53</v>
      </c>
      <c r="J53" t="s">
        <v>54</v>
      </c>
      <c r="K53" s="6">
        <v>45141</v>
      </c>
      <c r="L53" s="23">
        <v>0.75</v>
      </c>
      <c r="M53" s="5">
        <v>119579</v>
      </c>
      <c r="N53" s="5" t="s">
        <v>55</v>
      </c>
      <c r="O53" s="8" t="s">
        <v>56</v>
      </c>
      <c r="Q53" t="s">
        <v>62</v>
      </c>
      <c r="R53" s="5" t="s">
        <v>58</v>
      </c>
      <c r="S53" s="9">
        <v>10</v>
      </c>
      <c r="T53" s="9">
        <v>5</v>
      </c>
      <c r="U53" s="9">
        <v>5</v>
      </c>
      <c r="V53" s="10">
        <f>Table1[[#This Row],[MARGIN '[€']]]/Table1[[#This Row],[SALES '[€']]]</f>
        <v>0.5</v>
      </c>
      <c r="W53" s="5">
        <v>9215166364</v>
      </c>
      <c r="X53" s="5" t="s">
        <v>232</v>
      </c>
      <c r="Y53" s="4">
        <v>82</v>
      </c>
      <c r="AA53" t="s">
        <v>60</v>
      </c>
      <c r="AL53" t="s">
        <v>61</v>
      </c>
    </row>
    <row r="54" spans="1:38" x14ac:dyDescent="0.25">
      <c r="A54" s="4">
        <v>31</v>
      </c>
      <c r="B54" t="s">
        <v>48</v>
      </c>
      <c r="C54" t="s">
        <v>49</v>
      </c>
      <c r="D54" s="5" t="s">
        <v>50</v>
      </c>
      <c r="E54" t="s">
        <v>51</v>
      </c>
      <c r="F54" s="6">
        <v>45141</v>
      </c>
      <c r="G54" s="7">
        <v>0.20833333333333301</v>
      </c>
      <c r="H54" t="s">
        <v>52</v>
      </c>
      <c r="I54" s="5" t="s">
        <v>53</v>
      </c>
      <c r="J54" t="s">
        <v>54</v>
      </c>
      <c r="K54" s="6">
        <v>45141</v>
      </c>
      <c r="L54" s="23">
        <v>0.75</v>
      </c>
      <c r="M54" s="5">
        <v>119580</v>
      </c>
      <c r="N54" s="5" t="s">
        <v>55</v>
      </c>
      <c r="O54" s="8" t="s">
        <v>56</v>
      </c>
      <c r="Q54" t="s">
        <v>57</v>
      </c>
      <c r="R54" s="5" t="s">
        <v>58</v>
      </c>
      <c r="S54" s="9">
        <v>10</v>
      </c>
      <c r="T54" s="9">
        <v>5</v>
      </c>
      <c r="U54" s="9">
        <v>5</v>
      </c>
      <c r="V54" s="10">
        <f>Table1[[#This Row],[MARGIN '[€']]]/Table1[[#This Row],[SALES '[€']]]</f>
        <v>0.5</v>
      </c>
      <c r="W54" s="5">
        <v>9215166365</v>
      </c>
      <c r="X54" s="5" t="s">
        <v>233</v>
      </c>
      <c r="Y54" s="4">
        <v>82</v>
      </c>
      <c r="AA54" t="s">
        <v>60</v>
      </c>
      <c r="AL54" t="s">
        <v>61</v>
      </c>
    </row>
    <row r="55" spans="1:38" x14ac:dyDescent="0.25">
      <c r="A55" s="4">
        <v>31</v>
      </c>
      <c r="B55" t="s">
        <v>48</v>
      </c>
      <c r="C55" t="s">
        <v>49</v>
      </c>
      <c r="D55" s="5" t="s">
        <v>50</v>
      </c>
      <c r="E55" t="s">
        <v>51</v>
      </c>
      <c r="F55" s="6">
        <v>45141</v>
      </c>
      <c r="G55" s="7">
        <v>0.33333333333333298</v>
      </c>
      <c r="H55" t="s">
        <v>52</v>
      </c>
      <c r="I55" s="5" t="s">
        <v>53</v>
      </c>
      <c r="J55" t="s">
        <v>54</v>
      </c>
      <c r="K55" s="6">
        <v>45141</v>
      </c>
      <c r="L55" s="23">
        <v>0.75</v>
      </c>
      <c r="M55" s="5">
        <v>119581</v>
      </c>
      <c r="N55" s="5" t="s">
        <v>55</v>
      </c>
      <c r="O55" s="8" t="s">
        <v>56</v>
      </c>
      <c r="Q55" t="s">
        <v>64</v>
      </c>
      <c r="R55" s="5" t="s">
        <v>58</v>
      </c>
      <c r="S55" s="9">
        <v>10</v>
      </c>
      <c r="T55" s="9">
        <v>5</v>
      </c>
      <c r="U55" s="9">
        <v>5</v>
      </c>
      <c r="V55" s="10">
        <f>Table1[[#This Row],[MARGIN '[€']]]/Table1[[#This Row],[SALES '[€']]]</f>
        <v>0.5</v>
      </c>
      <c r="W55" s="5">
        <v>9215166363</v>
      </c>
      <c r="X55" s="5" t="s">
        <v>231</v>
      </c>
      <c r="Y55" s="4">
        <v>82</v>
      </c>
      <c r="AA55" t="s">
        <v>60</v>
      </c>
      <c r="AL55" t="s">
        <v>61</v>
      </c>
    </row>
    <row r="56" spans="1:38" x14ac:dyDescent="0.25">
      <c r="A56" s="4">
        <v>31</v>
      </c>
      <c r="B56" t="s">
        <v>234</v>
      </c>
      <c r="C56" t="s">
        <v>49</v>
      </c>
      <c r="D56" s="5" t="s">
        <v>50</v>
      </c>
      <c r="E56" t="s">
        <v>235</v>
      </c>
      <c r="F56" s="6">
        <v>45141</v>
      </c>
      <c r="G56" s="7">
        <v>0.75</v>
      </c>
      <c r="H56" t="s">
        <v>216</v>
      </c>
      <c r="I56" s="5" t="s">
        <v>236</v>
      </c>
      <c r="J56" t="s">
        <v>237</v>
      </c>
      <c r="K56" s="6">
        <v>45142</v>
      </c>
      <c r="L56" s="23">
        <v>0.375</v>
      </c>
      <c r="N56" s="5" t="s">
        <v>142</v>
      </c>
      <c r="O56" s="8" t="s">
        <v>238</v>
      </c>
      <c r="Q56" t="s">
        <v>239</v>
      </c>
      <c r="R56" s="5" t="s">
        <v>240</v>
      </c>
      <c r="S56" s="9">
        <v>10</v>
      </c>
      <c r="T56" s="9">
        <v>5</v>
      </c>
      <c r="U56" s="9">
        <v>5</v>
      </c>
      <c r="V56" s="10">
        <f>Table1[[#This Row],[MARGIN '[€']]]/Table1[[#This Row],[SALES '[€']]]</f>
        <v>0.5</v>
      </c>
      <c r="W56" s="5">
        <v>9215166122</v>
      </c>
      <c r="X56" s="5" t="s">
        <v>241</v>
      </c>
      <c r="Y56" s="4">
        <v>656</v>
      </c>
      <c r="AA56" t="s">
        <v>163</v>
      </c>
      <c r="AL56" t="s">
        <v>61</v>
      </c>
    </row>
    <row r="57" spans="1:38" x14ac:dyDescent="0.25">
      <c r="A57" s="4">
        <v>31</v>
      </c>
      <c r="B57" t="s">
        <v>48</v>
      </c>
      <c r="C57" t="s">
        <v>49</v>
      </c>
      <c r="D57" s="5" t="s">
        <v>50</v>
      </c>
      <c r="E57" t="s">
        <v>51</v>
      </c>
      <c r="F57" s="6">
        <v>45141</v>
      </c>
      <c r="G57" s="7">
        <v>0.5</v>
      </c>
      <c r="H57" t="s">
        <v>66</v>
      </c>
      <c r="I57" s="5" t="s">
        <v>67</v>
      </c>
      <c r="J57" t="s">
        <v>68</v>
      </c>
      <c r="K57" s="6">
        <v>45141</v>
      </c>
      <c r="L57" s="23">
        <v>0.91666666666666696</v>
      </c>
      <c r="M57" s="5">
        <v>119507</v>
      </c>
      <c r="N57" s="5" t="s">
        <v>69</v>
      </c>
      <c r="O57" s="8" t="s">
        <v>56</v>
      </c>
      <c r="Q57" t="s">
        <v>242</v>
      </c>
      <c r="R57" s="5" t="s">
        <v>177</v>
      </c>
      <c r="S57" s="9">
        <v>10</v>
      </c>
      <c r="T57" s="9">
        <v>5</v>
      </c>
      <c r="U57" s="9">
        <v>5</v>
      </c>
      <c r="V57" s="10">
        <f>Table1[[#This Row],[MARGIN '[€']]]/Table1[[#This Row],[SALES '[€']]]</f>
        <v>0.5</v>
      </c>
      <c r="W57" s="5">
        <v>9215166368</v>
      </c>
      <c r="X57" s="5" t="s">
        <v>243</v>
      </c>
      <c r="Y57" s="4">
        <v>316</v>
      </c>
      <c r="AA57" t="s">
        <v>73</v>
      </c>
      <c r="AL57" t="s">
        <v>61</v>
      </c>
    </row>
    <row r="58" spans="1:38" x14ac:dyDescent="0.25">
      <c r="A58" s="4">
        <v>31</v>
      </c>
      <c r="B58" t="s">
        <v>48</v>
      </c>
      <c r="C58" t="s">
        <v>49</v>
      </c>
      <c r="D58" s="5" t="s">
        <v>50</v>
      </c>
      <c r="E58" t="s">
        <v>51</v>
      </c>
      <c r="F58" s="6">
        <v>45141</v>
      </c>
      <c r="G58" s="7">
        <v>0.625</v>
      </c>
      <c r="H58" t="s">
        <v>66</v>
      </c>
      <c r="I58" s="5" t="s">
        <v>67</v>
      </c>
      <c r="J58" t="s">
        <v>68</v>
      </c>
      <c r="K58" s="6">
        <v>45141</v>
      </c>
      <c r="L58" s="23">
        <v>0.999305555555556</v>
      </c>
      <c r="M58" s="5">
        <v>119508</v>
      </c>
      <c r="N58" s="5" t="s">
        <v>69</v>
      </c>
      <c r="O58" s="8" t="s">
        <v>56</v>
      </c>
      <c r="Q58" t="s">
        <v>244</v>
      </c>
      <c r="R58" s="5" t="s">
        <v>177</v>
      </c>
      <c r="S58" s="9">
        <v>10</v>
      </c>
      <c r="T58" s="9">
        <v>5</v>
      </c>
      <c r="U58" s="9">
        <v>5</v>
      </c>
      <c r="V58" s="10">
        <f>Table1[[#This Row],[MARGIN '[€']]]/Table1[[#This Row],[SALES '[€']]]</f>
        <v>0.5</v>
      </c>
      <c r="W58" s="5">
        <v>9215166369</v>
      </c>
      <c r="X58" s="5" t="s">
        <v>245</v>
      </c>
      <c r="Y58" s="4">
        <v>316</v>
      </c>
      <c r="AA58" t="s">
        <v>73</v>
      </c>
      <c r="AL58" t="s">
        <v>61</v>
      </c>
    </row>
    <row r="59" spans="1:38" x14ac:dyDescent="0.25">
      <c r="A59" s="4">
        <v>31</v>
      </c>
      <c r="B59" t="s">
        <v>48</v>
      </c>
      <c r="C59" t="s">
        <v>49</v>
      </c>
      <c r="D59" s="5" t="s">
        <v>50</v>
      </c>
      <c r="E59" t="s">
        <v>51</v>
      </c>
      <c r="F59" s="6">
        <v>45141</v>
      </c>
      <c r="G59" s="7">
        <v>0.45833333333333298</v>
      </c>
      <c r="H59" t="s">
        <v>66</v>
      </c>
      <c r="I59" s="5" t="s">
        <v>67</v>
      </c>
      <c r="J59" t="s">
        <v>68</v>
      </c>
      <c r="K59" s="6">
        <v>45142</v>
      </c>
      <c r="L59" s="23">
        <v>8.3333333333333301E-2</v>
      </c>
      <c r="M59" s="5">
        <v>119509</v>
      </c>
      <c r="N59" s="5" t="s">
        <v>69</v>
      </c>
      <c r="O59" s="8" t="s">
        <v>56</v>
      </c>
      <c r="Q59" t="s">
        <v>246</v>
      </c>
      <c r="R59" s="5" t="s">
        <v>71</v>
      </c>
      <c r="S59" s="9">
        <v>10</v>
      </c>
      <c r="T59" s="9">
        <v>5</v>
      </c>
      <c r="U59" s="9">
        <v>5</v>
      </c>
      <c r="V59" s="10">
        <f>Table1[[#This Row],[MARGIN '[€']]]/Table1[[#This Row],[SALES '[€']]]</f>
        <v>0.5</v>
      </c>
      <c r="W59" s="5">
        <v>9215166370</v>
      </c>
      <c r="X59" s="5" t="s">
        <v>247</v>
      </c>
      <c r="Y59" s="4">
        <v>316</v>
      </c>
      <c r="AA59" t="s">
        <v>73</v>
      </c>
      <c r="AL59" t="s">
        <v>61</v>
      </c>
    </row>
    <row r="60" spans="1:38" x14ac:dyDescent="0.25">
      <c r="A60" s="4">
        <v>31</v>
      </c>
      <c r="B60" t="s">
        <v>48</v>
      </c>
      <c r="C60" t="s">
        <v>49</v>
      </c>
      <c r="D60" s="5" t="s">
        <v>50</v>
      </c>
      <c r="E60" t="s">
        <v>51</v>
      </c>
      <c r="F60" s="6">
        <v>45141</v>
      </c>
      <c r="G60" s="7">
        <v>0.56944444444444398</v>
      </c>
      <c r="H60" t="s">
        <v>66</v>
      </c>
      <c r="I60" s="5" t="s">
        <v>67</v>
      </c>
      <c r="J60" t="s">
        <v>68</v>
      </c>
      <c r="K60" s="6">
        <v>45142</v>
      </c>
      <c r="L60" s="23">
        <v>0.16666666666666699</v>
      </c>
      <c r="M60" s="5">
        <v>119510</v>
      </c>
      <c r="N60" s="5" t="s">
        <v>69</v>
      </c>
      <c r="O60" s="8" t="s">
        <v>56</v>
      </c>
      <c r="Q60" t="s">
        <v>248</v>
      </c>
      <c r="R60" s="5" t="s">
        <v>71</v>
      </c>
      <c r="S60" s="9">
        <v>10</v>
      </c>
      <c r="T60" s="9">
        <v>5</v>
      </c>
      <c r="U60" s="9">
        <v>5</v>
      </c>
      <c r="V60" s="10">
        <f>Table1[[#This Row],[MARGIN '[€']]]/Table1[[#This Row],[SALES '[€']]]</f>
        <v>0.5</v>
      </c>
      <c r="W60" s="5">
        <v>9215166371</v>
      </c>
      <c r="X60" s="5" t="s">
        <v>249</v>
      </c>
      <c r="Y60" s="4">
        <v>316</v>
      </c>
      <c r="AA60" t="s">
        <v>73</v>
      </c>
      <c r="AL60" t="s">
        <v>61</v>
      </c>
    </row>
    <row r="61" spans="1:38" x14ac:dyDescent="0.25">
      <c r="A61" s="4">
        <v>31</v>
      </c>
      <c r="B61" t="s">
        <v>48</v>
      </c>
      <c r="C61" t="s">
        <v>49</v>
      </c>
      <c r="D61" s="5" t="s">
        <v>50</v>
      </c>
      <c r="E61" t="s">
        <v>51</v>
      </c>
      <c r="F61" s="6">
        <v>45141</v>
      </c>
      <c r="G61" s="7">
        <v>0.60416666666666696</v>
      </c>
      <c r="H61" t="s">
        <v>66</v>
      </c>
      <c r="I61" s="5" t="s">
        <v>67</v>
      </c>
      <c r="J61" t="s">
        <v>68</v>
      </c>
      <c r="K61" s="6">
        <v>45142</v>
      </c>
      <c r="L61" s="23">
        <v>0.25</v>
      </c>
      <c r="M61" s="5">
        <v>119511</v>
      </c>
      <c r="N61" s="5" t="s">
        <v>69</v>
      </c>
      <c r="O61" s="8" t="s">
        <v>56</v>
      </c>
      <c r="Q61" t="s">
        <v>250</v>
      </c>
      <c r="R61" s="5" t="s">
        <v>71</v>
      </c>
      <c r="S61" s="9">
        <v>10</v>
      </c>
      <c r="T61" s="9">
        <v>5</v>
      </c>
      <c r="U61" s="9">
        <v>5</v>
      </c>
      <c r="V61" s="10">
        <f>Table1[[#This Row],[MARGIN '[€']]]/Table1[[#This Row],[SALES '[€']]]</f>
        <v>0.5</v>
      </c>
      <c r="W61" s="5">
        <v>9215166372</v>
      </c>
      <c r="X61" s="5" t="s">
        <v>251</v>
      </c>
      <c r="Y61" s="4">
        <v>316</v>
      </c>
      <c r="AA61" t="s">
        <v>73</v>
      </c>
      <c r="AL61" t="s">
        <v>61</v>
      </c>
    </row>
    <row r="62" spans="1:38" x14ac:dyDescent="0.25">
      <c r="A62" s="4">
        <v>31</v>
      </c>
      <c r="B62" t="s">
        <v>48</v>
      </c>
      <c r="C62" t="s">
        <v>49</v>
      </c>
      <c r="D62" s="5" t="s">
        <v>50</v>
      </c>
      <c r="E62" t="s">
        <v>51</v>
      </c>
      <c r="F62" s="6">
        <v>45141</v>
      </c>
      <c r="G62" s="7">
        <v>0.79166666666666696</v>
      </c>
      <c r="H62" t="s">
        <v>66</v>
      </c>
      <c r="I62" s="5" t="s">
        <v>67</v>
      </c>
      <c r="J62" t="s">
        <v>68</v>
      </c>
      <c r="K62" s="6">
        <v>45142</v>
      </c>
      <c r="L62" s="23">
        <v>0.33333333333333298</v>
      </c>
      <c r="M62" s="5">
        <v>119512</v>
      </c>
      <c r="N62" s="5" t="s">
        <v>69</v>
      </c>
      <c r="O62" s="8" t="s">
        <v>56</v>
      </c>
      <c r="Q62" t="s">
        <v>252</v>
      </c>
      <c r="R62" s="5" t="s">
        <v>71</v>
      </c>
      <c r="S62" s="9">
        <v>10</v>
      </c>
      <c r="T62" s="9">
        <v>5</v>
      </c>
      <c r="U62" s="9">
        <v>5</v>
      </c>
      <c r="V62" s="10">
        <f>Table1[[#This Row],[MARGIN '[€']]]/Table1[[#This Row],[SALES '[€']]]</f>
        <v>0.5</v>
      </c>
      <c r="W62" s="5">
        <v>9215166373</v>
      </c>
      <c r="X62" s="5" t="s">
        <v>253</v>
      </c>
      <c r="Y62" s="4">
        <v>316</v>
      </c>
      <c r="AA62" t="s">
        <v>73</v>
      </c>
      <c r="AL62" t="s">
        <v>61</v>
      </c>
    </row>
    <row r="63" spans="1:38" x14ac:dyDescent="0.25">
      <c r="A63" s="4">
        <v>31</v>
      </c>
      <c r="B63" t="s">
        <v>48</v>
      </c>
      <c r="C63" t="s">
        <v>49</v>
      </c>
      <c r="D63" s="5" t="s">
        <v>50</v>
      </c>
      <c r="E63" t="s">
        <v>51</v>
      </c>
      <c r="F63" s="6">
        <v>45141</v>
      </c>
      <c r="G63" s="7">
        <v>0.55555555555555602</v>
      </c>
      <c r="H63" t="s">
        <v>66</v>
      </c>
      <c r="I63" s="5" t="s">
        <v>67</v>
      </c>
      <c r="J63" t="s">
        <v>68</v>
      </c>
      <c r="K63" s="6">
        <v>45142</v>
      </c>
      <c r="L63" s="23">
        <v>0.41666666666666702</v>
      </c>
      <c r="M63" s="5">
        <v>119513</v>
      </c>
      <c r="N63" s="5" t="s">
        <v>69</v>
      </c>
      <c r="O63" s="8" t="s">
        <v>56</v>
      </c>
      <c r="Q63" t="s">
        <v>254</v>
      </c>
      <c r="R63" s="5" t="s">
        <v>177</v>
      </c>
      <c r="S63" s="9">
        <v>10</v>
      </c>
      <c r="T63" s="9">
        <v>5</v>
      </c>
      <c r="U63" s="9">
        <v>5</v>
      </c>
      <c r="V63" s="10">
        <f>Table1[[#This Row],[MARGIN '[€']]]/Table1[[#This Row],[SALES '[€']]]</f>
        <v>0.5</v>
      </c>
      <c r="W63" s="5">
        <v>9215166374</v>
      </c>
      <c r="X63" s="5" t="s">
        <v>255</v>
      </c>
      <c r="Y63" s="4">
        <v>316</v>
      </c>
      <c r="AA63" t="s">
        <v>73</v>
      </c>
      <c r="AL63" t="s">
        <v>61</v>
      </c>
    </row>
    <row r="64" spans="1:38" x14ac:dyDescent="0.25">
      <c r="A64" s="4">
        <v>31</v>
      </c>
      <c r="B64" t="s">
        <v>48</v>
      </c>
      <c r="C64" t="s">
        <v>49</v>
      </c>
      <c r="D64" s="5" t="s">
        <v>50</v>
      </c>
      <c r="E64" t="s">
        <v>51</v>
      </c>
      <c r="F64" s="6">
        <v>45141</v>
      </c>
      <c r="G64" s="7">
        <v>0.58333333333333304</v>
      </c>
      <c r="H64" t="s">
        <v>66</v>
      </c>
      <c r="I64" s="5" t="s">
        <v>67</v>
      </c>
      <c r="J64" t="s">
        <v>68</v>
      </c>
      <c r="K64" s="6">
        <v>45142</v>
      </c>
      <c r="L64" s="23">
        <v>0.58333333333333304</v>
      </c>
      <c r="M64" s="5">
        <v>119514</v>
      </c>
      <c r="N64" s="5" t="s">
        <v>69</v>
      </c>
      <c r="O64" s="8" t="s">
        <v>56</v>
      </c>
      <c r="Q64" t="s">
        <v>256</v>
      </c>
      <c r="R64" s="5" t="s">
        <v>177</v>
      </c>
      <c r="S64" s="9">
        <v>10</v>
      </c>
      <c r="T64" s="9">
        <v>5</v>
      </c>
      <c r="U64" s="9">
        <v>5</v>
      </c>
      <c r="V64" s="10">
        <f>Table1[[#This Row],[MARGIN '[€']]]/Table1[[#This Row],[SALES '[€']]]</f>
        <v>0.5</v>
      </c>
      <c r="W64" s="5">
        <v>9215166375</v>
      </c>
      <c r="X64" s="5" t="s">
        <v>257</v>
      </c>
      <c r="Y64" s="4">
        <v>316</v>
      </c>
      <c r="AA64" t="s">
        <v>73</v>
      </c>
      <c r="AL64" t="s">
        <v>61</v>
      </c>
    </row>
    <row r="65" spans="1:38" x14ac:dyDescent="0.25">
      <c r="A65" s="4">
        <v>31</v>
      </c>
      <c r="B65" t="s">
        <v>48</v>
      </c>
      <c r="C65" t="s">
        <v>49</v>
      </c>
      <c r="D65" s="5" t="s">
        <v>50</v>
      </c>
      <c r="E65" t="s">
        <v>51</v>
      </c>
      <c r="F65" s="6">
        <v>45141</v>
      </c>
      <c r="G65" s="7">
        <v>0.63888888888888895</v>
      </c>
      <c r="H65" t="s">
        <v>66</v>
      </c>
      <c r="I65" s="5" t="s">
        <v>67</v>
      </c>
      <c r="J65" t="s">
        <v>68</v>
      </c>
      <c r="K65" s="6">
        <v>45142</v>
      </c>
      <c r="L65" s="23">
        <v>0.75</v>
      </c>
      <c r="M65" s="5">
        <v>119515</v>
      </c>
      <c r="N65" s="5" t="s">
        <v>69</v>
      </c>
      <c r="O65" s="8" t="s">
        <v>56</v>
      </c>
      <c r="Q65" t="s">
        <v>258</v>
      </c>
      <c r="R65" s="5" t="s">
        <v>177</v>
      </c>
      <c r="S65" s="9">
        <v>10</v>
      </c>
      <c r="T65" s="9">
        <v>5</v>
      </c>
      <c r="U65" s="9">
        <v>5</v>
      </c>
      <c r="V65" s="10">
        <f>Table1[[#This Row],[MARGIN '[€']]]/Table1[[#This Row],[SALES '[€']]]</f>
        <v>0.5</v>
      </c>
      <c r="W65" s="5">
        <v>9215166377</v>
      </c>
      <c r="X65" s="5" t="s">
        <v>259</v>
      </c>
      <c r="Y65" s="4">
        <v>316</v>
      </c>
      <c r="AA65" t="s">
        <v>73</v>
      </c>
      <c r="AL65" t="s">
        <v>61</v>
      </c>
    </row>
    <row r="66" spans="1:38" x14ac:dyDescent="0.25">
      <c r="A66" s="4">
        <v>31</v>
      </c>
      <c r="B66" t="s">
        <v>48</v>
      </c>
      <c r="C66" t="s">
        <v>49</v>
      </c>
      <c r="D66" s="5" t="s">
        <v>50</v>
      </c>
      <c r="E66" t="s">
        <v>51</v>
      </c>
      <c r="F66" s="6">
        <v>45141</v>
      </c>
      <c r="G66" s="7">
        <v>0.80555555555555503</v>
      </c>
      <c r="H66" t="s">
        <v>66</v>
      </c>
      <c r="I66" s="5" t="s">
        <v>67</v>
      </c>
      <c r="J66" t="s">
        <v>68</v>
      </c>
      <c r="K66" s="6">
        <v>45142</v>
      </c>
      <c r="L66" s="23">
        <v>0.91666666666666696</v>
      </c>
      <c r="M66" s="5">
        <v>119516</v>
      </c>
      <c r="N66" s="5" t="s">
        <v>69</v>
      </c>
      <c r="O66" s="8" t="s">
        <v>56</v>
      </c>
      <c r="Q66" t="s">
        <v>181</v>
      </c>
      <c r="R66" s="5" t="s">
        <v>177</v>
      </c>
      <c r="S66" s="9">
        <v>10</v>
      </c>
      <c r="T66" s="9">
        <v>5</v>
      </c>
      <c r="U66" s="9">
        <v>5</v>
      </c>
      <c r="V66" s="10">
        <f>Table1[[#This Row],[MARGIN '[€']]]/Table1[[#This Row],[SALES '[€']]]</f>
        <v>0.5</v>
      </c>
      <c r="W66" s="5">
        <v>9215166399</v>
      </c>
      <c r="X66" s="5" t="s">
        <v>260</v>
      </c>
      <c r="Y66" s="4">
        <v>316</v>
      </c>
      <c r="AA66" t="s">
        <v>73</v>
      </c>
      <c r="AL66" t="s">
        <v>61</v>
      </c>
    </row>
    <row r="67" spans="1:38" x14ac:dyDescent="0.25">
      <c r="A67" s="4">
        <v>31</v>
      </c>
      <c r="B67" t="s">
        <v>48</v>
      </c>
      <c r="C67" t="s">
        <v>49</v>
      </c>
      <c r="D67" s="5" t="s">
        <v>50</v>
      </c>
      <c r="E67" t="s">
        <v>51</v>
      </c>
      <c r="F67" s="6">
        <v>45141</v>
      </c>
      <c r="H67" t="s">
        <v>90</v>
      </c>
      <c r="I67" s="5" t="s">
        <v>91</v>
      </c>
      <c r="J67" t="s">
        <v>92</v>
      </c>
      <c r="K67" s="6">
        <v>45142</v>
      </c>
      <c r="L67" s="23" t="s">
        <v>210</v>
      </c>
      <c r="M67" s="5">
        <v>119560</v>
      </c>
      <c r="N67" s="5" t="s">
        <v>69</v>
      </c>
      <c r="O67" s="8" t="s">
        <v>56</v>
      </c>
      <c r="R67" s="5" t="s">
        <v>94</v>
      </c>
      <c r="S67" s="9">
        <v>10</v>
      </c>
      <c r="T67" s="9">
        <v>5</v>
      </c>
      <c r="U67" s="9">
        <v>5</v>
      </c>
      <c r="V67" s="10">
        <f>Table1[[#This Row],[MARGIN '[€']]]/Table1[[#This Row],[SALES '[€']]]</f>
        <v>0.5</v>
      </c>
      <c r="Y67" s="4">
        <v>441</v>
      </c>
      <c r="Z67" t="s">
        <v>261</v>
      </c>
      <c r="AA67" t="s">
        <v>60</v>
      </c>
      <c r="AL67" t="s">
        <v>214</v>
      </c>
    </row>
    <row r="68" spans="1:38" x14ac:dyDescent="0.25">
      <c r="A68" s="4">
        <v>31</v>
      </c>
      <c r="B68" t="s">
        <v>48</v>
      </c>
      <c r="C68" t="s">
        <v>49</v>
      </c>
      <c r="D68" s="5" t="s">
        <v>50</v>
      </c>
      <c r="E68" t="s">
        <v>51</v>
      </c>
      <c r="F68" s="6">
        <v>45141</v>
      </c>
      <c r="G68" s="7">
        <v>0.91666666666666696</v>
      </c>
      <c r="H68" t="s">
        <v>90</v>
      </c>
      <c r="I68" s="5" t="s">
        <v>91</v>
      </c>
      <c r="J68" t="s">
        <v>92</v>
      </c>
      <c r="K68" s="6">
        <v>45142</v>
      </c>
      <c r="L68" s="23">
        <v>0.30902777777777801</v>
      </c>
      <c r="M68" s="5">
        <v>119561</v>
      </c>
      <c r="N68" s="5" t="s">
        <v>69</v>
      </c>
      <c r="O68" s="8" t="s">
        <v>56</v>
      </c>
      <c r="Q68" t="s">
        <v>262</v>
      </c>
      <c r="R68" s="5" t="s">
        <v>98</v>
      </c>
      <c r="S68" s="9">
        <v>10</v>
      </c>
      <c r="T68" s="9">
        <v>5</v>
      </c>
      <c r="U68" s="9">
        <v>5</v>
      </c>
      <c r="V68" s="10">
        <f>Table1[[#This Row],[MARGIN '[€']]]/Table1[[#This Row],[SALES '[€']]]</f>
        <v>0.5</v>
      </c>
      <c r="W68" s="5">
        <v>9215166381</v>
      </c>
      <c r="X68" s="5" t="s">
        <v>263</v>
      </c>
      <c r="Y68" s="4">
        <v>441</v>
      </c>
      <c r="Z68" t="s">
        <v>264</v>
      </c>
      <c r="AA68" t="s">
        <v>60</v>
      </c>
      <c r="AL68" t="s">
        <v>61</v>
      </c>
    </row>
    <row r="69" spans="1:38" x14ac:dyDescent="0.25">
      <c r="A69" s="4">
        <v>31</v>
      </c>
      <c r="B69" t="s">
        <v>48</v>
      </c>
      <c r="C69" t="s">
        <v>49</v>
      </c>
      <c r="D69" s="5" t="s">
        <v>102</v>
      </c>
      <c r="E69" t="s">
        <v>103</v>
      </c>
      <c r="F69" s="6">
        <v>45141</v>
      </c>
      <c r="G69" s="7">
        <v>0.3125</v>
      </c>
      <c r="H69" t="s">
        <v>216</v>
      </c>
      <c r="I69" s="5">
        <v>19</v>
      </c>
      <c r="J69" t="s">
        <v>217</v>
      </c>
      <c r="K69" s="6">
        <v>45142</v>
      </c>
      <c r="L69" s="23">
        <v>0.125</v>
      </c>
      <c r="M69" s="5">
        <v>119174</v>
      </c>
      <c r="N69" s="5" t="s">
        <v>69</v>
      </c>
      <c r="O69" s="8" t="s">
        <v>56</v>
      </c>
      <c r="Q69" t="s">
        <v>265</v>
      </c>
      <c r="R69" s="5" t="s">
        <v>266</v>
      </c>
      <c r="S69" s="9">
        <v>10</v>
      </c>
      <c r="T69" s="9">
        <v>5</v>
      </c>
      <c r="U69" s="9">
        <v>5</v>
      </c>
      <c r="V69" s="10">
        <f>Table1[[#This Row],[MARGIN '[€']]]/Table1[[#This Row],[SALES '[€']]]</f>
        <v>0.5</v>
      </c>
      <c r="W69" s="5">
        <v>9215166376</v>
      </c>
      <c r="X69" s="5" t="s">
        <v>267</v>
      </c>
      <c r="Y69" s="4">
        <v>629</v>
      </c>
      <c r="AA69" t="s">
        <v>89</v>
      </c>
      <c r="AL69" t="s">
        <v>61</v>
      </c>
    </row>
    <row r="70" spans="1:38" x14ac:dyDescent="0.25">
      <c r="A70" s="4">
        <v>31</v>
      </c>
      <c r="B70" t="s">
        <v>48</v>
      </c>
      <c r="C70" t="s">
        <v>49</v>
      </c>
      <c r="D70" s="5" t="s">
        <v>50</v>
      </c>
      <c r="E70" t="s">
        <v>51</v>
      </c>
      <c r="F70" s="6">
        <v>45141</v>
      </c>
      <c r="G70" s="7">
        <v>0.52083333333333304</v>
      </c>
      <c r="H70" t="s">
        <v>90</v>
      </c>
      <c r="I70" s="5" t="s">
        <v>91</v>
      </c>
      <c r="J70" t="s">
        <v>92</v>
      </c>
      <c r="K70" s="6">
        <v>45142</v>
      </c>
      <c r="L70" s="23">
        <v>0.40625</v>
      </c>
      <c r="M70" s="5">
        <v>119562</v>
      </c>
      <c r="N70" s="5" t="s">
        <v>69</v>
      </c>
      <c r="O70" s="8" t="s">
        <v>56</v>
      </c>
      <c r="P70" t="s">
        <v>76</v>
      </c>
      <c r="Q70" t="s">
        <v>117</v>
      </c>
      <c r="R70" s="5" t="s">
        <v>118</v>
      </c>
      <c r="S70" s="9">
        <v>10</v>
      </c>
      <c r="T70" s="9">
        <v>5</v>
      </c>
      <c r="U70" s="9">
        <v>5</v>
      </c>
      <c r="V70" s="10">
        <f>Table1[[#This Row],[MARGIN '[€']]]/Table1[[#This Row],[SALES '[€']]]</f>
        <v>0.5</v>
      </c>
      <c r="W70" s="5" t="s">
        <v>268</v>
      </c>
      <c r="X70" s="5" t="s">
        <v>269</v>
      </c>
      <c r="Y70" s="4">
        <v>441</v>
      </c>
      <c r="Z70" t="s">
        <v>270</v>
      </c>
      <c r="AA70" t="s">
        <v>60</v>
      </c>
      <c r="AL70" t="s">
        <v>61</v>
      </c>
    </row>
    <row r="71" spans="1:38" x14ac:dyDescent="0.25">
      <c r="A71" s="4">
        <v>31</v>
      </c>
      <c r="B71" t="s">
        <v>48</v>
      </c>
      <c r="C71" t="s">
        <v>49</v>
      </c>
      <c r="D71" s="5" t="s">
        <v>50</v>
      </c>
      <c r="E71" t="s">
        <v>51</v>
      </c>
      <c r="F71" s="6">
        <v>45141</v>
      </c>
      <c r="G71" s="7">
        <v>0.90277777777777801</v>
      </c>
      <c r="H71" t="s">
        <v>90</v>
      </c>
      <c r="I71" s="5" t="s">
        <v>91</v>
      </c>
      <c r="J71" t="s">
        <v>92</v>
      </c>
      <c r="K71" s="6">
        <v>45142</v>
      </c>
      <c r="L71" s="23">
        <v>0.625</v>
      </c>
      <c r="M71" s="5">
        <v>119564</v>
      </c>
      <c r="N71" s="5" t="s">
        <v>69</v>
      </c>
      <c r="O71" s="8" t="s">
        <v>56</v>
      </c>
      <c r="Q71" t="s">
        <v>271</v>
      </c>
      <c r="R71" s="5" t="s">
        <v>98</v>
      </c>
      <c r="S71" s="9">
        <v>10</v>
      </c>
      <c r="T71" s="9">
        <v>5</v>
      </c>
      <c r="U71" s="9">
        <v>5</v>
      </c>
      <c r="V71" s="10">
        <f>Table1[[#This Row],[MARGIN '[€']]]/Table1[[#This Row],[SALES '[€']]]</f>
        <v>0.5</v>
      </c>
      <c r="W71" s="5">
        <v>9215166382</v>
      </c>
      <c r="X71" s="5" t="s">
        <v>272</v>
      </c>
      <c r="Y71" s="4">
        <v>441</v>
      </c>
      <c r="Z71" t="s">
        <v>273</v>
      </c>
      <c r="AA71" t="s">
        <v>60</v>
      </c>
      <c r="AL71" t="s">
        <v>61</v>
      </c>
    </row>
    <row r="72" spans="1:38" x14ac:dyDescent="0.25">
      <c r="A72" s="4">
        <v>31</v>
      </c>
      <c r="B72" t="s">
        <v>48</v>
      </c>
      <c r="C72" t="s">
        <v>49</v>
      </c>
      <c r="D72" s="5" t="s">
        <v>50</v>
      </c>
      <c r="E72" t="s">
        <v>51</v>
      </c>
      <c r="F72" s="6">
        <v>45141</v>
      </c>
      <c r="G72" s="7">
        <v>0.31944444444444398</v>
      </c>
      <c r="H72" t="s">
        <v>90</v>
      </c>
      <c r="I72" s="5" t="s">
        <v>91</v>
      </c>
      <c r="J72" t="s">
        <v>92</v>
      </c>
      <c r="K72" s="6">
        <v>45142</v>
      </c>
      <c r="L72" s="23">
        <v>0.24652777777777801</v>
      </c>
      <c r="M72" s="5">
        <v>119565</v>
      </c>
      <c r="N72" s="5" t="s">
        <v>69</v>
      </c>
      <c r="O72" s="8" t="s">
        <v>56</v>
      </c>
      <c r="Q72" t="s">
        <v>274</v>
      </c>
      <c r="R72" s="5" t="s">
        <v>94</v>
      </c>
      <c r="S72" s="9">
        <v>10</v>
      </c>
      <c r="T72" s="9">
        <v>5</v>
      </c>
      <c r="U72" s="9">
        <v>5</v>
      </c>
      <c r="V72" s="10">
        <f>Table1[[#This Row],[MARGIN '[€']]]/Table1[[#This Row],[SALES '[€']]]</f>
        <v>0.5</v>
      </c>
      <c r="W72" s="5">
        <v>9215166385</v>
      </c>
      <c r="X72" s="5" t="s">
        <v>275</v>
      </c>
      <c r="Y72" s="4">
        <v>441</v>
      </c>
      <c r="Z72" t="s">
        <v>276</v>
      </c>
      <c r="AA72" t="s">
        <v>60</v>
      </c>
      <c r="AL72" t="s">
        <v>61</v>
      </c>
    </row>
    <row r="73" spans="1:38" x14ac:dyDescent="0.25">
      <c r="A73" s="4">
        <v>31</v>
      </c>
      <c r="B73" t="s">
        <v>137</v>
      </c>
      <c r="C73" t="s">
        <v>49</v>
      </c>
      <c r="D73" s="5">
        <v>94</v>
      </c>
      <c r="E73" t="s">
        <v>110</v>
      </c>
      <c r="F73" s="6">
        <v>45141</v>
      </c>
      <c r="G73" s="7">
        <v>0.29166666666666702</v>
      </c>
      <c r="H73" t="s">
        <v>49</v>
      </c>
      <c r="I73" s="5" t="s">
        <v>50</v>
      </c>
      <c r="J73" t="s">
        <v>51</v>
      </c>
      <c r="K73" s="6">
        <v>45141</v>
      </c>
      <c r="L73" s="23">
        <v>0.54166666666666696</v>
      </c>
      <c r="M73" s="5" t="s">
        <v>277</v>
      </c>
      <c r="N73" s="5" t="s">
        <v>69</v>
      </c>
      <c r="O73" s="8" t="s">
        <v>56</v>
      </c>
      <c r="Q73" t="s">
        <v>117</v>
      </c>
      <c r="R73" s="5" t="s">
        <v>118</v>
      </c>
      <c r="S73" s="9">
        <v>10</v>
      </c>
      <c r="T73" s="9">
        <v>5</v>
      </c>
      <c r="U73" s="9">
        <v>5</v>
      </c>
      <c r="V73" s="10">
        <f>Table1[[#This Row],[MARGIN '[€']]]/Table1[[#This Row],[SALES '[€']]]</f>
        <v>0.5</v>
      </c>
      <c r="W73" s="5">
        <v>9215166388</v>
      </c>
      <c r="X73" s="5" t="s">
        <v>278</v>
      </c>
      <c r="AA73" t="s">
        <v>89</v>
      </c>
      <c r="AL73" t="s">
        <v>61</v>
      </c>
    </row>
    <row r="74" spans="1:38" x14ac:dyDescent="0.25">
      <c r="A74" s="4">
        <v>31</v>
      </c>
      <c r="B74" t="s">
        <v>137</v>
      </c>
      <c r="C74" t="s">
        <v>49</v>
      </c>
      <c r="D74" s="5" t="s">
        <v>50</v>
      </c>
      <c r="E74" t="s">
        <v>51</v>
      </c>
      <c r="F74" s="6">
        <v>45142</v>
      </c>
      <c r="G74" s="7">
        <v>0.54166666666666696</v>
      </c>
      <c r="H74" t="s">
        <v>138</v>
      </c>
      <c r="I74" s="5" t="s">
        <v>139</v>
      </c>
      <c r="J74" t="s">
        <v>140</v>
      </c>
      <c r="K74" s="6">
        <v>45147</v>
      </c>
      <c r="L74" s="23">
        <v>0.45833333333333298</v>
      </c>
      <c r="M74" s="5" t="s">
        <v>279</v>
      </c>
      <c r="N74" s="5" t="s">
        <v>142</v>
      </c>
      <c r="O74" s="8" t="s">
        <v>56</v>
      </c>
      <c r="P74" t="s">
        <v>280</v>
      </c>
      <c r="Q74" t="s">
        <v>281</v>
      </c>
      <c r="R74" s="5" t="s">
        <v>145</v>
      </c>
      <c r="S74" s="9">
        <v>10</v>
      </c>
      <c r="T74" s="9">
        <v>5</v>
      </c>
      <c r="U74" s="9">
        <v>5</v>
      </c>
      <c r="V74" s="10">
        <f>Table1[[#This Row],[MARGIN '[€']]]/Table1[[#This Row],[SALES '[€']]]</f>
        <v>0.5</v>
      </c>
      <c r="W74" s="5">
        <v>9215166338</v>
      </c>
      <c r="X74" s="5" t="s">
        <v>282</v>
      </c>
      <c r="Y74" s="4">
        <v>1360</v>
      </c>
      <c r="AA74" t="s">
        <v>73</v>
      </c>
      <c r="AL74" t="s">
        <v>61</v>
      </c>
    </row>
    <row r="75" spans="1:38" x14ac:dyDescent="0.25">
      <c r="A75" s="4">
        <v>31</v>
      </c>
      <c r="B75" t="s">
        <v>152</v>
      </c>
      <c r="C75" t="s">
        <v>153</v>
      </c>
      <c r="D75" s="5" t="s">
        <v>283</v>
      </c>
      <c r="E75" t="s">
        <v>284</v>
      </c>
      <c r="F75" s="6">
        <v>45142</v>
      </c>
      <c r="G75" s="7">
        <v>0.5</v>
      </c>
      <c r="H75" t="s">
        <v>49</v>
      </c>
      <c r="I75" s="5" t="s">
        <v>156</v>
      </c>
      <c r="J75" t="s">
        <v>285</v>
      </c>
      <c r="K75" s="6">
        <v>45146</v>
      </c>
      <c r="L75" s="23">
        <v>0.5</v>
      </c>
      <c r="M75" s="5" t="s">
        <v>286</v>
      </c>
      <c r="N75" s="5" t="s">
        <v>142</v>
      </c>
      <c r="O75" s="8" t="s">
        <v>159</v>
      </c>
      <c r="P75">
        <v>12000</v>
      </c>
      <c r="Q75" t="s">
        <v>287</v>
      </c>
      <c r="R75" s="5" t="s">
        <v>161</v>
      </c>
      <c r="S75" s="9">
        <v>10</v>
      </c>
      <c r="T75" s="9">
        <v>5</v>
      </c>
      <c r="U75" s="9">
        <v>5</v>
      </c>
      <c r="V75" s="10">
        <f>Table1[[#This Row],[MARGIN '[€']]]/Table1[[#This Row],[SALES '[€']]]</f>
        <v>0.5</v>
      </c>
      <c r="W75" s="5">
        <v>9215166409</v>
      </c>
      <c r="X75" s="5" t="s">
        <v>288</v>
      </c>
      <c r="Y75" s="4">
        <v>1912</v>
      </c>
      <c r="AA75" t="s">
        <v>60</v>
      </c>
      <c r="AD75">
        <v>10</v>
      </c>
      <c r="AE75" s="3">
        <v>4</v>
      </c>
      <c r="AL75" t="s">
        <v>61</v>
      </c>
    </row>
    <row r="76" spans="1:38" x14ac:dyDescent="0.25">
      <c r="A76" s="4">
        <v>31</v>
      </c>
      <c r="B76" t="s">
        <v>48</v>
      </c>
      <c r="C76" t="s">
        <v>49</v>
      </c>
      <c r="D76" s="5" t="s">
        <v>50</v>
      </c>
      <c r="E76" t="s">
        <v>51</v>
      </c>
      <c r="F76" s="6">
        <v>45142</v>
      </c>
      <c r="G76" s="7">
        <v>0.52083333333333304</v>
      </c>
      <c r="H76" t="s">
        <v>66</v>
      </c>
      <c r="I76" s="5" t="s">
        <v>67</v>
      </c>
      <c r="J76" t="s">
        <v>68</v>
      </c>
      <c r="K76" s="6">
        <v>45142</v>
      </c>
      <c r="L76" s="23">
        <v>0.999305555555556</v>
      </c>
      <c r="M76" s="5">
        <v>119517</v>
      </c>
      <c r="N76" s="5" t="s">
        <v>69</v>
      </c>
      <c r="O76" s="8" t="s">
        <v>56</v>
      </c>
      <c r="Q76" t="s">
        <v>289</v>
      </c>
      <c r="R76" s="5" t="s">
        <v>71</v>
      </c>
      <c r="S76" s="9">
        <v>10</v>
      </c>
      <c r="T76" s="9">
        <v>5</v>
      </c>
      <c r="U76" s="9">
        <v>5</v>
      </c>
      <c r="V76" s="10">
        <f>Table1[[#This Row],[MARGIN '[€']]]/Table1[[#This Row],[SALES '[€']]]</f>
        <v>0.5</v>
      </c>
      <c r="W76" s="5">
        <v>9215166400</v>
      </c>
      <c r="X76" s="5" t="s">
        <v>290</v>
      </c>
      <c r="Y76" s="4">
        <v>316</v>
      </c>
      <c r="AA76" t="s">
        <v>73</v>
      </c>
      <c r="AL76" t="s">
        <v>61</v>
      </c>
    </row>
    <row r="77" spans="1:38" x14ac:dyDescent="0.25">
      <c r="A77" s="4">
        <v>31</v>
      </c>
      <c r="B77" t="s">
        <v>48</v>
      </c>
      <c r="C77" t="s">
        <v>49</v>
      </c>
      <c r="D77" s="5" t="s">
        <v>50</v>
      </c>
      <c r="E77" t="s">
        <v>51</v>
      </c>
      <c r="F77" s="6">
        <v>45142</v>
      </c>
      <c r="G77" s="7">
        <v>0.55555555555555602</v>
      </c>
      <c r="H77" t="s">
        <v>66</v>
      </c>
      <c r="I77" s="5" t="s">
        <v>67</v>
      </c>
      <c r="J77" t="s">
        <v>68</v>
      </c>
      <c r="K77" s="6">
        <v>45143</v>
      </c>
      <c r="L77" s="23">
        <v>8.3333333333333301E-2</v>
      </c>
      <c r="M77" s="5">
        <v>119518</v>
      </c>
      <c r="N77" s="5" t="s">
        <v>69</v>
      </c>
      <c r="O77" s="8" t="s">
        <v>56</v>
      </c>
      <c r="Q77" t="s">
        <v>291</v>
      </c>
      <c r="R77" s="5" t="s">
        <v>71</v>
      </c>
      <c r="S77" s="9">
        <v>10</v>
      </c>
      <c r="T77" s="9">
        <v>5</v>
      </c>
      <c r="U77" s="9">
        <v>5</v>
      </c>
      <c r="V77" s="10">
        <f>Table1[[#This Row],[MARGIN '[€']]]/Table1[[#This Row],[SALES '[€']]]</f>
        <v>0.5</v>
      </c>
      <c r="W77" s="5">
        <v>9215166401</v>
      </c>
      <c r="X77" s="5" t="s">
        <v>292</v>
      </c>
      <c r="Y77" s="4">
        <v>316</v>
      </c>
      <c r="Z77" t="s">
        <v>293</v>
      </c>
      <c r="AA77" t="s">
        <v>73</v>
      </c>
      <c r="AL77" t="s">
        <v>61</v>
      </c>
    </row>
    <row r="78" spans="1:38" x14ac:dyDescent="0.25">
      <c r="A78" s="4">
        <v>31</v>
      </c>
      <c r="B78" t="s">
        <v>48</v>
      </c>
      <c r="C78" t="s">
        <v>49</v>
      </c>
      <c r="D78" s="5" t="s">
        <v>50</v>
      </c>
      <c r="E78" t="s">
        <v>51</v>
      </c>
      <c r="F78" s="6">
        <v>45142</v>
      </c>
      <c r="G78" s="7">
        <v>0.56944444444444398</v>
      </c>
      <c r="H78" t="s">
        <v>66</v>
      </c>
      <c r="I78" s="5" t="s">
        <v>67</v>
      </c>
      <c r="J78" t="s">
        <v>68</v>
      </c>
      <c r="K78" s="6">
        <v>45143</v>
      </c>
      <c r="L78" s="23">
        <v>0.16666666666666699</v>
      </c>
      <c r="M78" s="5">
        <v>119519</v>
      </c>
      <c r="N78" s="5" t="s">
        <v>69</v>
      </c>
      <c r="O78" s="8" t="s">
        <v>56</v>
      </c>
      <c r="Q78" t="s">
        <v>294</v>
      </c>
      <c r="R78" s="5" t="s">
        <v>71</v>
      </c>
      <c r="S78" s="9">
        <v>10</v>
      </c>
      <c r="T78" s="9">
        <v>5</v>
      </c>
      <c r="U78" s="9">
        <v>5</v>
      </c>
      <c r="V78" s="10">
        <f>Table1[[#This Row],[MARGIN '[€']]]/Table1[[#This Row],[SALES '[€']]]</f>
        <v>0.5</v>
      </c>
      <c r="W78" s="5">
        <v>9215166402</v>
      </c>
      <c r="X78" s="5" t="s">
        <v>295</v>
      </c>
      <c r="Y78" s="4">
        <v>316</v>
      </c>
      <c r="Z78" t="s">
        <v>293</v>
      </c>
      <c r="AA78" t="s">
        <v>73</v>
      </c>
      <c r="AL78" t="s">
        <v>61</v>
      </c>
    </row>
    <row r="79" spans="1:38" x14ac:dyDescent="0.25">
      <c r="A79" s="4">
        <v>31</v>
      </c>
      <c r="B79" t="s">
        <v>48</v>
      </c>
      <c r="C79" t="s">
        <v>49</v>
      </c>
      <c r="D79" s="5" t="s">
        <v>50</v>
      </c>
      <c r="E79" t="s">
        <v>51</v>
      </c>
      <c r="F79" s="6">
        <v>45142</v>
      </c>
      <c r="G79" s="7">
        <v>0.45833333333333298</v>
      </c>
      <c r="H79" t="s">
        <v>66</v>
      </c>
      <c r="I79" s="5" t="s">
        <v>67</v>
      </c>
      <c r="J79" t="s">
        <v>68</v>
      </c>
      <c r="K79" s="6">
        <v>45143</v>
      </c>
      <c r="L79" s="23">
        <v>0.25</v>
      </c>
      <c r="M79" s="5">
        <v>119520</v>
      </c>
      <c r="N79" s="5" t="s">
        <v>69</v>
      </c>
      <c r="O79" s="8" t="s">
        <v>56</v>
      </c>
      <c r="Q79" t="s">
        <v>296</v>
      </c>
      <c r="R79" s="5" t="s">
        <v>71</v>
      </c>
      <c r="S79" s="9">
        <v>10</v>
      </c>
      <c r="T79" s="9">
        <v>5</v>
      </c>
      <c r="U79" s="9">
        <v>5</v>
      </c>
      <c r="V79" s="10">
        <f>Table1[[#This Row],[MARGIN '[€']]]/Table1[[#This Row],[SALES '[€']]]</f>
        <v>0.5</v>
      </c>
      <c r="W79" s="5">
        <v>9215166403</v>
      </c>
      <c r="X79" s="5" t="s">
        <v>297</v>
      </c>
      <c r="Y79" s="4">
        <v>316</v>
      </c>
      <c r="Z79" t="s">
        <v>293</v>
      </c>
      <c r="AA79" t="s">
        <v>73</v>
      </c>
      <c r="AL79" t="s">
        <v>61</v>
      </c>
    </row>
    <row r="80" spans="1:38" x14ac:dyDescent="0.25">
      <c r="A80" s="4">
        <v>31</v>
      </c>
      <c r="B80" t="s">
        <v>48</v>
      </c>
      <c r="C80" t="s">
        <v>49</v>
      </c>
      <c r="D80" s="5" t="s">
        <v>50</v>
      </c>
      <c r="E80" t="s">
        <v>51</v>
      </c>
      <c r="F80" s="6">
        <v>45142</v>
      </c>
      <c r="G80" s="7">
        <v>0.29166666666666702</v>
      </c>
      <c r="H80" t="s">
        <v>66</v>
      </c>
      <c r="I80" s="5" t="s">
        <v>67</v>
      </c>
      <c r="J80" t="s">
        <v>68</v>
      </c>
      <c r="K80" s="6">
        <v>45143</v>
      </c>
      <c r="L80" s="23">
        <v>0.33333333333333298</v>
      </c>
      <c r="M80" s="5">
        <v>119521</v>
      </c>
      <c r="N80" s="5" t="s">
        <v>69</v>
      </c>
      <c r="O80" s="8" t="s">
        <v>56</v>
      </c>
      <c r="Q80" t="s">
        <v>176</v>
      </c>
      <c r="R80" s="5" t="s">
        <v>177</v>
      </c>
      <c r="S80" s="9">
        <v>10</v>
      </c>
      <c r="T80" s="9">
        <v>5</v>
      </c>
      <c r="U80" s="9">
        <v>5</v>
      </c>
      <c r="V80" s="10">
        <f>Table1[[#This Row],[MARGIN '[€']]]/Table1[[#This Row],[SALES '[€']]]</f>
        <v>0.5</v>
      </c>
      <c r="W80" s="5">
        <v>9215166404</v>
      </c>
      <c r="X80" s="5" t="s">
        <v>298</v>
      </c>
      <c r="Y80" s="4">
        <v>316</v>
      </c>
      <c r="Z80" t="s">
        <v>293</v>
      </c>
      <c r="AA80" t="s">
        <v>73</v>
      </c>
      <c r="AL80" t="s">
        <v>61</v>
      </c>
    </row>
    <row r="81" spans="1:38" x14ac:dyDescent="0.25">
      <c r="A81" s="4">
        <v>31</v>
      </c>
      <c r="B81" t="s">
        <v>48</v>
      </c>
      <c r="C81" t="s">
        <v>49</v>
      </c>
      <c r="D81" s="5" t="s">
        <v>50</v>
      </c>
      <c r="E81" t="s">
        <v>51</v>
      </c>
      <c r="F81" s="6">
        <v>45142</v>
      </c>
      <c r="G81" s="7">
        <v>0.58333333333333304</v>
      </c>
      <c r="H81" t="s">
        <v>66</v>
      </c>
      <c r="I81" s="5" t="s">
        <v>67</v>
      </c>
      <c r="J81" t="s">
        <v>68</v>
      </c>
      <c r="K81" s="6">
        <v>45143</v>
      </c>
      <c r="L81" s="23">
        <v>0.41666666666666702</v>
      </c>
      <c r="M81" s="5">
        <v>119522</v>
      </c>
      <c r="N81" s="5" t="s">
        <v>69</v>
      </c>
      <c r="O81" s="8" t="s">
        <v>56</v>
      </c>
      <c r="Q81" t="s">
        <v>299</v>
      </c>
      <c r="R81" s="5" t="s">
        <v>177</v>
      </c>
      <c r="S81" s="9">
        <v>10</v>
      </c>
      <c r="T81" s="9">
        <v>5</v>
      </c>
      <c r="U81" s="9">
        <v>5</v>
      </c>
      <c r="V81" s="10">
        <f>Table1[[#This Row],[MARGIN '[€']]]/Table1[[#This Row],[SALES '[€']]]</f>
        <v>0.5</v>
      </c>
      <c r="W81" s="5">
        <v>9215166406</v>
      </c>
      <c r="X81" s="5" t="s">
        <v>300</v>
      </c>
      <c r="Y81" s="4">
        <v>316</v>
      </c>
      <c r="Z81" t="s">
        <v>293</v>
      </c>
      <c r="AA81" t="s">
        <v>73</v>
      </c>
      <c r="AL81" t="s">
        <v>61</v>
      </c>
    </row>
    <row r="82" spans="1:38" x14ac:dyDescent="0.25">
      <c r="A82" s="4">
        <v>31</v>
      </c>
      <c r="B82" t="s">
        <v>48</v>
      </c>
      <c r="C82" t="s">
        <v>49</v>
      </c>
      <c r="D82" s="5" t="s">
        <v>50</v>
      </c>
      <c r="E82" t="s">
        <v>51</v>
      </c>
      <c r="F82" s="6">
        <v>45142</v>
      </c>
      <c r="G82" s="7">
        <v>0.14583333333333301</v>
      </c>
      <c r="H82" t="s">
        <v>90</v>
      </c>
      <c r="I82" s="5" t="s">
        <v>91</v>
      </c>
      <c r="J82" t="s">
        <v>92</v>
      </c>
      <c r="K82" s="6">
        <v>45142</v>
      </c>
      <c r="L82" s="23">
        <v>0.5625</v>
      </c>
      <c r="M82" s="5">
        <v>119563</v>
      </c>
      <c r="N82" s="5" t="s">
        <v>69</v>
      </c>
      <c r="O82" s="8" t="s">
        <v>56</v>
      </c>
      <c r="Q82" t="s">
        <v>301</v>
      </c>
      <c r="R82" s="5" t="s">
        <v>94</v>
      </c>
      <c r="S82" s="9">
        <v>10</v>
      </c>
      <c r="T82" s="9">
        <v>5</v>
      </c>
      <c r="U82" s="9">
        <v>5</v>
      </c>
      <c r="V82" s="10">
        <f>Table1[[#This Row],[MARGIN '[€']]]/Table1[[#This Row],[SALES '[€']]]</f>
        <v>0.5</v>
      </c>
      <c r="W82" s="5">
        <v>9215166387</v>
      </c>
      <c r="X82" s="5" t="s">
        <v>302</v>
      </c>
      <c r="Y82" s="4">
        <v>441</v>
      </c>
      <c r="Z82" t="s">
        <v>303</v>
      </c>
      <c r="AA82" t="s">
        <v>60</v>
      </c>
      <c r="AL82" t="s">
        <v>61</v>
      </c>
    </row>
    <row r="83" spans="1:38" x14ac:dyDescent="0.25">
      <c r="A83" s="4">
        <v>31</v>
      </c>
      <c r="B83" t="s">
        <v>48</v>
      </c>
      <c r="C83" t="s">
        <v>49</v>
      </c>
      <c r="D83" s="5" t="s">
        <v>102</v>
      </c>
      <c r="E83" t="s">
        <v>103</v>
      </c>
      <c r="F83" s="6">
        <v>45142</v>
      </c>
      <c r="G83" s="7">
        <v>0.5</v>
      </c>
      <c r="H83" t="s">
        <v>90</v>
      </c>
      <c r="I83" s="5" t="s">
        <v>304</v>
      </c>
      <c r="J83" t="s">
        <v>305</v>
      </c>
      <c r="K83" s="6">
        <v>45146</v>
      </c>
      <c r="L83" s="23">
        <v>0.38541666666666702</v>
      </c>
      <c r="M83" s="5">
        <v>119586</v>
      </c>
      <c r="N83" s="5" t="s">
        <v>55</v>
      </c>
      <c r="O83" s="8" t="s">
        <v>56</v>
      </c>
      <c r="Q83" t="s">
        <v>306</v>
      </c>
      <c r="R83" s="5" t="s">
        <v>307</v>
      </c>
      <c r="S83" s="9">
        <v>10</v>
      </c>
      <c r="T83" s="9">
        <v>5</v>
      </c>
      <c r="U83" s="9">
        <v>5</v>
      </c>
      <c r="V83" s="10">
        <f>Table1[[#This Row],[MARGIN '[€']]]/Table1[[#This Row],[SALES '[€']]]</f>
        <v>0.5</v>
      </c>
      <c r="W83" s="5">
        <v>9215166417</v>
      </c>
      <c r="X83" s="5" t="s">
        <v>308</v>
      </c>
      <c r="Y83" s="4">
        <v>621</v>
      </c>
      <c r="AA83" t="s">
        <v>60</v>
      </c>
      <c r="AL83" t="s">
        <v>61</v>
      </c>
    </row>
    <row r="84" spans="1:38" x14ac:dyDescent="0.25">
      <c r="A84" s="4">
        <v>31</v>
      </c>
      <c r="B84" t="s">
        <v>48</v>
      </c>
      <c r="C84" t="s">
        <v>49</v>
      </c>
      <c r="D84" s="5" t="s">
        <v>50</v>
      </c>
      <c r="E84" t="s">
        <v>309</v>
      </c>
      <c r="F84" s="6">
        <v>45142</v>
      </c>
      <c r="G84" s="7">
        <v>0.5625</v>
      </c>
      <c r="H84" t="s">
        <v>49</v>
      </c>
      <c r="I84" s="5">
        <v>94</v>
      </c>
      <c r="J84" t="s">
        <v>110</v>
      </c>
      <c r="K84" s="6">
        <v>45145</v>
      </c>
      <c r="L84" s="23">
        <v>0.54166666666666696</v>
      </c>
      <c r="M84" s="5" t="s">
        <v>310</v>
      </c>
      <c r="N84" s="5" t="s">
        <v>69</v>
      </c>
      <c r="O84" s="8" t="s">
        <v>56</v>
      </c>
      <c r="Q84" t="s">
        <v>311</v>
      </c>
      <c r="R84" s="5" t="s">
        <v>312</v>
      </c>
      <c r="S84" s="9">
        <v>10</v>
      </c>
      <c r="T84" s="9">
        <v>5</v>
      </c>
      <c r="U84" s="9">
        <v>5</v>
      </c>
      <c r="V84" s="10">
        <f>Table1[[#This Row],[MARGIN '[€']]]/Table1[[#This Row],[SALES '[€']]]</f>
        <v>0.5</v>
      </c>
      <c r="W84" s="5" t="s">
        <v>313</v>
      </c>
      <c r="X84" s="5" t="s">
        <v>314</v>
      </c>
      <c r="Y84" s="4">
        <v>345</v>
      </c>
      <c r="AA84" t="s">
        <v>89</v>
      </c>
      <c r="AL84" t="s">
        <v>61</v>
      </c>
    </row>
    <row r="85" spans="1:38" x14ac:dyDescent="0.25">
      <c r="A85" s="4">
        <v>31</v>
      </c>
      <c r="B85" t="s">
        <v>137</v>
      </c>
      <c r="C85" t="s">
        <v>49</v>
      </c>
      <c r="D85" s="5" t="s">
        <v>50</v>
      </c>
      <c r="E85" t="s">
        <v>51</v>
      </c>
      <c r="F85" s="6">
        <v>45142</v>
      </c>
      <c r="G85" s="7">
        <v>0.22916666666666699</v>
      </c>
      <c r="H85" t="s">
        <v>49</v>
      </c>
      <c r="I85" s="5" t="s">
        <v>102</v>
      </c>
      <c r="J85" t="s">
        <v>103</v>
      </c>
      <c r="K85" s="6">
        <v>45142</v>
      </c>
      <c r="L85" s="23">
        <v>0.29166666666666702</v>
      </c>
      <c r="M85" s="5" t="s">
        <v>315</v>
      </c>
      <c r="N85" s="5" t="s">
        <v>69</v>
      </c>
      <c r="O85" s="8" t="s">
        <v>56</v>
      </c>
      <c r="Q85" t="s">
        <v>316</v>
      </c>
      <c r="R85" s="5" t="s">
        <v>317</v>
      </c>
      <c r="S85" s="9">
        <v>10</v>
      </c>
      <c r="T85" s="9">
        <v>5</v>
      </c>
      <c r="U85" s="9">
        <v>5</v>
      </c>
      <c r="V85" s="10">
        <f>Table1[[#This Row],[MARGIN '[€']]]/Table1[[#This Row],[SALES '[€']]]</f>
        <v>0.5</v>
      </c>
      <c r="W85" s="5">
        <v>9215166396</v>
      </c>
      <c r="X85" s="5" t="s">
        <v>318</v>
      </c>
      <c r="Y85" s="4">
        <v>57</v>
      </c>
      <c r="AA85" t="s">
        <v>89</v>
      </c>
      <c r="AL85" t="s">
        <v>61</v>
      </c>
    </row>
    <row r="86" spans="1:38" x14ac:dyDescent="0.25">
      <c r="A86" s="4">
        <v>31</v>
      </c>
      <c r="B86" t="s">
        <v>137</v>
      </c>
      <c r="C86" t="s">
        <v>49</v>
      </c>
      <c r="D86" s="5" t="s">
        <v>50</v>
      </c>
      <c r="E86" t="s">
        <v>51</v>
      </c>
      <c r="F86" s="6">
        <v>45142</v>
      </c>
      <c r="G86" s="7">
        <v>0.375</v>
      </c>
      <c r="H86" t="s">
        <v>49</v>
      </c>
      <c r="I86" s="5" t="s">
        <v>102</v>
      </c>
      <c r="J86" t="s">
        <v>103</v>
      </c>
      <c r="K86" s="6">
        <v>45142</v>
      </c>
      <c r="L86" s="23">
        <v>0.4375</v>
      </c>
      <c r="M86" s="5" t="s">
        <v>319</v>
      </c>
      <c r="N86" s="5" t="s">
        <v>69</v>
      </c>
      <c r="O86" s="8" t="s">
        <v>56</v>
      </c>
      <c r="Q86" t="s">
        <v>316</v>
      </c>
      <c r="R86" s="5" t="s">
        <v>317</v>
      </c>
      <c r="S86" s="9">
        <v>10</v>
      </c>
      <c r="T86" s="9">
        <v>5</v>
      </c>
      <c r="U86" s="9">
        <v>5</v>
      </c>
      <c r="V86" s="10">
        <f>Table1[[#This Row],[MARGIN '[€']]]/Table1[[#This Row],[SALES '[€']]]</f>
        <v>0.5</v>
      </c>
      <c r="W86" s="5">
        <v>9215166397</v>
      </c>
      <c r="X86" s="5" t="s">
        <v>318</v>
      </c>
      <c r="Y86" s="4">
        <v>57</v>
      </c>
      <c r="AA86" t="s">
        <v>89</v>
      </c>
      <c r="AL86" t="s">
        <v>61</v>
      </c>
    </row>
    <row r="87" spans="1:38" x14ac:dyDescent="0.25">
      <c r="A87" s="4">
        <v>31</v>
      </c>
      <c r="B87" t="s">
        <v>137</v>
      </c>
      <c r="C87" t="s">
        <v>49</v>
      </c>
      <c r="D87" s="5" t="s">
        <v>50</v>
      </c>
      <c r="E87" t="s">
        <v>51</v>
      </c>
      <c r="F87" s="6">
        <v>45142</v>
      </c>
      <c r="G87" s="7">
        <v>0.5</v>
      </c>
      <c r="H87" t="s">
        <v>49</v>
      </c>
      <c r="I87" s="5" t="s">
        <v>102</v>
      </c>
      <c r="J87" t="s">
        <v>103</v>
      </c>
      <c r="K87" s="6">
        <v>45142</v>
      </c>
      <c r="L87" s="23">
        <v>0.5625</v>
      </c>
      <c r="M87" s="5" t="s">
        <v>320</v>
      </c>
      <c r="N87" s="5" t="s">
        <v>69</v>
      </c>
      <c r="O87" s="8" t="s">
        <v>56</v>
      </c>
      <c r="Q87" t="s">
        <v>316</v>
      </c>
      <c r="R87" s="5" t="s">
        <v>317</v>
      </c>
      <c r="S87" s="9">
        <v>10</v>
      </c>
      <c r="T87" s="9">
        <v>5</v>
      </c>
      <c r="U87" s="9">
        <v>5</v>
      </c>
      <c r="V87" s="10">
        <f>Table1[[#This Row],[MARGIN '[€']]]/Table1[[#This Row],[SALES '[€']]]</f>
        <v>0.5</v>
      </c>
      <c r="W87" s="5">
        <v>9215166398</v>
      </c>
      <c r="X87" s="5" t="s">
        <v>318</v>
      </c>
      <c r="Y87" s="4">
        <v>57</v>
      </c>
      <c r="AA87" t="s">
        <v>89</v>
      </c>
      <c r="AL87" t="s">
        <v>61</v>
      </c>
    </row>
    <row r="88" spans="1:38" x14ac:dyDescent="0.25">
      <c r="A88" s="4">
        <v>31</v>
      </c>
      <c r="B88" t="s">
        <v>137</v>
      </c>
      <c r="C88" t="s">
        <v>49</v>
      </c>
      <c r="D88" s="5" t="s">
        <v>50</v>
      </c>
      <c r="E88" t="s">
        <v>51</v>
      </c>
      <c r="F88" s="6">
        <v>45142</v>
      </c>
      <c r="G88" s="7">
        <v>0.41666666666666702</v>
      </c>
      <c r="H88" t="s">
        <v>49</v>
      </c>
      <c r="I88" s="5" t="s">
        <v>102</v>
      </c>
      <c r="J88" t="s">
        <v>103</v>
      </c>
      <c r="K88" s="6">
        <v>45142</v>
      </c>
      <c r="L88" s="23">
        <v>0.52083333333333304</v>
      </c>
      <c r="M88" s="5" t="s">
        <v>321</v>
      </c>
      <c r="N88" s="5" t="s">
        <v>69</v>
      </c>
      <c r="O88" s="8" t="s">
        <v>56</v>
      </c>
      <c r="Q88" t="s">
        <v>311</v>
      </c>
      <c r="R88" s="5" t="s">
        <v>312</v>
      </c>
      <c r="S88" s="9">
        <v>10</v>
      </c>
      <c r="T88" s="9">
        <v>5</v>
      </c>
      <c r="U88" s="9">
        <v>5</v>
      </c>
      <c r="V88" s="10">
        <f>Table1[[#This Row],[MARGIN '[€']]]/Table1[[#This Row],[SALES '[€']]]</f>
        <v>0.5</v>
      </c>
      <c r="W88" s="5">
        <v>9215166415</v>
      </c>
      <c r="X88" s="5" t="s">
        <v>322</v>
      </c>
      <c r="Y88" s="4">
        <v>57</v>
      </c>
      <c r="AA88" t="s">
        <v>89</v>
      </c>
      <c r="AL88" t="s">
        <v>61</v>
      </c>
    </row>
    <row r="89" spans="1:38" x14ac:dyDescent="0.25">
      <c r="A89" s="4">
        <v>31</v>
      </c>
      <c r="B89" t="s">
        <v>48</v>
      </c>
      <c r="C89" t="s">
        <v>49</v>
      </c>
      <c r="D89" s="5" t="s">
        <v>50</v>
      </c>
      <c r="E89" t="s">
        <v>51</v>
      </c>
      <c r="F89" s="6">
        <v>45144</v>
      </c>
      <c r="G89" s="7">
        <v>0.95833333333333304</v>
      </c>
      <c r="H89" t="s">
        <v>90</v>
      </c>
      <c r="I89" s="5">
        <v>24</v>
      </c>
      <c r="J89" t="s">
        <v>92</v>
      </c>
      <c r="K89" s="6">
        <v>45145</v>
      </c>
      <c r="L89" s="23">
        <v>0.30902777777777801</v>
      </c>
      <c r="M89" s="5">
        <v>119631</v>
      </c>
      <c r="N89" s="5" t="s">
        <v>69</v>
      </c>
      <c r="O89" s="8" t="s">
        <v>56</v>
      </c>
      <c r="Q89" t="s">
        <v>323</v>
      </c>
      <c r="R89" s="5" t="s">
        <v>98</v>
      </c>
      <c r="S89" s="9">
        <v>10</v>
      </c>
      <c r="T89" s="9">
        <v>5</v>
      </c>
      <c r="U89" s="9">
        <v>5</v>
      </c>
      <c r="V89" s="10">
        <f>Table1[[#This Row],[MARGIN '[€']]]/Table1[[#This Row],[SALES '[€']]]</f>
        <v>0.5</v>
      </c>
      <c r="W89" s="5">
        <v>9215166418</v>
      </c>
      <c r="X89" s="5" t="s">
        <v>324</v>
      </c>
      <c r="Y89" s="4">
        <v>441</v>
      </c>
      <c r="Z89" t="s">
        <v>325</v>
      </c>
      <c r="AA89" t="s">
        <v>60</v>
      </c>
      <c r="AL89" t="s">
        <v>61</v>
      </c>
    </row>
    <row r="90" spans="1:38" x14ac:dyDescent="0.25">
      <c r="A90" s="4">
        <v>31</v>
      </c>
      <c r="B90" t="s">
        <v>48</v>
      </c>
      <c r="C90" t="s">
        <v>49</v>
      </c>
      <c r="D90" s="5" t="s">
        <v>50</v>
      </c>
      <c r="E90" t="s">
        <v>51</v>
      </c>
      <c r="F90" s="6">
        <v>45144</v>
      </c>
      <c r="G90" s="7">
        <v>0.97916666666666696</v>
      </c>
      <c r="H90" t="s">
        <v>90</v>
      </c>
      <c r="I90" s="5">
        <v>24</v>
      </c>
      <c r="J90" t="s">
        <v>92</v>
      </c>
      <c r="K90" s="6">
        <v>45145</v>
      </c>
      <c r="L90" s="23">
        <v>0.24652777777777801</v>
      </c>
      <c r="M90" s="5">
        <v>119633</v>
      </c>
      <c r="N90" s="5" t="s">
        <v>69</v>
      </c>
      <c r="O90" s="8" t="s">
        <v>56</v>
      </c>
      <c r="Q90" t="s">
        <v>114</v>
      </c>
      <c r="R90" s="5" t="s">
        <v>94</v>
      </c>
      <c r="S90" s="9">
        <v>10</v>
      </c>
      <c r="T90" s="9">
        <v>5</v>
      </c>
      <c r="U90" s="9">
        <v>5</v>
      </c>
      <c r="V90" s="10">
        <f>Table1[[#This Row],[MARGIN '[€']]]/Table1[[#This Row],[SALES '[€']]]</f>
        <v>0.5</v>
      </c>
      <c r="W90" s="5">
        <v>9215166425</v>
      </c>
      <c r="X90" s="5" t="s">
        <v>326</v>
      </c>
      <c r="Y90" s="4">
        <v>441</v>
      </c>
      <c r="Z90" t="s">
        <v>327</v>
      </c>
      <c r="AA90" t="s">
        <v>60</v>
      </c>
      <c r="AL90" t="s">
        <v>61</v>
      </c>
    </row>
    <row r="91" spans="1:38" x14ac:dyDescent="0.25">
      <c r="A91" s="4">
        <v>32</v>
      </c>
      <c r="B91" t="s">
        <v>48</v>
      </c>
      <c r="C91" t="s">
        <v>49</v>
      </c>
      <c r="D91" s="5" t="s">
        <v>50</v>
      </c>
      <c r="E91" t="s">
        <v>51</v>
      </c>
      <c r="F91" s="6">
        <v>45145</v>
      </c>
      <c r="G91" s="7">
        <v>0.16666666666666699</v>
      </c>
      <c r="H91" t="s">
        <v>52</v>
      </c>
      <c r="I91" s="5" t="s">
        <v>53</v>
      </c>
      <c r="J91" t="s">
        <v>54</v>
      </c>
      <c r="K91" s="6">
        <v>45145</v>
      </c>
      <c r="L91" s="23">
        <v>0.75</v>
      </c>
      <c r="M91" s="5">
        <v>119657</v>
      </c>
      <c r="N91" s="5" t="s">
        <v>55</v>
      </c>
      <c r="O91" s="8" t="s">
        <v>56</v>
      </c>
      <c r="Q91" t="s">
        <v>62</v>
      </c>
      <c r="R91" s="5" t="s">
        <v>58</v>
      </c>
      <c r="S91" s="9">
        <v>10</v>
      </c>
      <c r="T91" s="9">
        <v>5</v>
      </c>
      <c r="U91" s="9">
        <v>5</v>
      </c>
      <c r="V91" s="10">
        <f>Table1[[#This Row],[MARGIN '[€']]]/Table1[[#This Row],[SALES '[€']]]</f>
        <v>0.5</v>
      </c>
      <c r="W91" s="5">
        <v>9215166438</v>
      </c>
      <c r="X91" s="5" t="s">
        <v>328</v>
      </c>
      <c r="Y91" s="4">
        <v>82</v>
      </c>
      <c r="AA91" t="s">
        <v>89</v>
      </c>
      <c r="AL91" t="s">
        <v>61</v>
      </c>
    </row>
    <row r="92" spans="1:38" x14ac:dyDescent="0.25">
      <c r="A92" s="4">
        <v>32</v>
      </c>
      <c r="B92" t="s">
        <v>48</v>
      </c>
      <c r="C92" t="s">
        <v>49</v>
      </c>
      <c r="D92" s="5" t="s">
        <v>50</v>
      </c>
      <c r="E92" t="s">
        <v>51</v>
      </c>
      <c r="F92" s="6">
        <v>45145</v>
      </c>
      <c r="G92" s="7">
        <v>0.1875</v>
      </c>
      <c r="H92" t="s">
        <v>52</v>
      </c>
      <c r="I92" s="5" t="s">
        <v>53</v>
      </c>
      <c r="J92" t="s">
        <v>54</v>
      </c>
      <c r="K92" s="6">
        <v>45145</v>
      </c>
      <c r="L92" s="23">
        <v>0.75</v>
      </c>
      <c r="M92" s="5">
        <v>119658</v>
      </c>
      <c r="N92" s="5" t="s">
        <v>55</v>
      </c>
      <c r="O92" s="8" t="s">
        <v>56</v>
      </c>
      <c r="Q92" t="s">
        <v>57</v>
      </c>
      <c r="R92" s="5" t="s">
        <v>58</v>
      </c>
      <c r="S92" s="9">
        <v>10</v>
      </c>
      <c r="T92" s="9">
        <v>5</v>
      </c>
      <c r="U92" s="9">
        <v>5</v>
      </c>
      <c r="V92" s="10">
        <f>Table1[[#This Row],[MARGIN '[€']]]/Table1[[#This Row],[SALES '[€']]]</f>
        <v>0.5</v>
      </c>
      <c r="W92" s="5">
        <v>9215166440</v>
      </c>
      <c r="X92" s="5" t="s">
        <v>329</v>
      </c>
      <c r="Y92" s="4">
        <v>82</v>
      </c>
      <c r="AA92" t="s">
        <v>89</v>
      </c>
      <c r="AL92" t="s">
        <v>61</v>
      </c>
    </row>
    <row r="93" spans="1:38" x14ac:dyDescent="0.25">
      <c r="A93" s="4">
        <v>32</v>
      </c>
      <c r="B93" t="s">
        <v>48</v>
      </c>
      <c r="C93" t="s">
        <v>49</v>
      </c>
      <c r="D93" s="5" t="s">
        <v>50</v>
      </c>
      <c r="E93" t="s">
        <v>51</v>
      </c>
      <c r="F93" s="6">
        <v>45145</v>
      </c>
      <c r="G93" s="7">
        <v>0.20833333333333301</v>
      </c>
      <c r="H93" t="s">
        <v>52</v>
      </c>
      <c r="I93" s="5" t="s">
        <v>53</v>
      </c>
      <c r="J93" t="s">
        <v>54</v>
      </c>
      <c r="K93" s="6">
        <v>45145</v>
      </c>
      <c r="L93" s="23">
        <v>0.75</v>
      </c>
      <c r="M93" s="5">
        <v>119659</v>
      </c>
      <c r="N93" s="5" t="s">
        <v>55</v>
      </c>
      <c r="O93" s="8" t="s">
        <v>56</v>
      </c>
      <c r="Q93" t="s">
        <v>64</v>
      </c>
      <c r="R93" s="5" t="s">
        <v>58</v>
      </c>
      <c r="S93" s="9">
        <v>10</v>
      </c>
      <c r="T93" s="9">
        <v>5</v>
      </c>
      <c r="U93" s="9">
        <v>5</v>
      </c>
      <c r="V93" s="10">
        <f>Table1[[#This Row],[MARGIN '[€']]]/Table1[[#This Row],[SALES '[€']]]</f>
        <v>0.5</v>
      </c>
      <c r="W93" s="5">
        <v>9215166443</v>
      </c>
      <c r="X93" s="5" t="s">
        <v>330</v>
      </c>
      <c r="Y93" s="4">
        <v>82</v>
      </c>
      <c r="AA93" t="s">
        <v>89</v>
      </c>
      <c r="AL93" t="s">
        <v>61</v>
      </c>
    </row>
    <row r="94" spans="1:38" x14ac:dyDescent="0.25">
      <c r="A94" s="4">
        <v>32</v>
      </c>
      <c r="B94" t="s">
        <v>48</v>
      </c>
      <c r="C94" t="s">
        <v>49</v>
      </c>
      <c r="D94" s="5" t="s">
        <v>50</v>
      </c>
      <c r="E94" t="s">
        <v>51</v>
      </c>
      <c r="F94" s="6">
        <v>45145</v>
      </c>
      <c r="G94" s="7">
        <v>0.33333333333333298</v>
      </c>
      <c r="H94" t="s">
        <v>52</v>
      </c>
      <c r="I94" s="5" t="s">
        <v>53</v>
      </c>
      <c r="J94" t="s">
        <v>54</v>
      </c>
      <c r="K94" s="6">
        <v>45145</v>
      </c>
      <c r="L94" s="23">
        <v>0.75</v>
      </c>
      <c r="M94" s="5">
        <v>119660</v>
      </c>
      <c r="N94" s="5" t="s">
        <v>55</v>
      </c>
      <c r="O94" s="8" t="s">
        <v>56</v>
      </c>
      <c r="Q94" t="s">
        <v>62</v>
      </c>
      <c r="R94" s="5" t="s">
        <v>58</v>
      </c>
      <c r="S94" s="9">
        <v>10</v>
      </c>
      <c r="T94" s="9">
        <v>5</v>
      </c>
      <c r="U94" s="9">
        <v>5</v>
      </c>
      <c r="V94" s="10">
        <f>Table1[[#This Row],[MARGIN '[€']]]/Table1[[#This Row],[SALES '[€']]]</f>
        <v>0.5</v>
      </c>
      <c r="W94" s="5">
        <v>9215166439</v>
      </c>
      <c r="X94" s="5" t="s">
        <v>328</v>
      </c>
      <c r="Y94" s="4">
        <v>82</v>
      </c>
      <c r="AA94" t="s">
        <v>89</v>
      </c>
      <c r="AL94" t="s">
        <v>61</v>
      </c>
    </row>
    <row r="95" spans="1:38" x14ac:dyDescent="0.25">
      <c r="A95" s="4">
        <v>32</v>
      </c>
      <c r="B95" t="s">
        <v>48</v>
      </c>
      <c r="C95" t="s">
        <v>49</v>
      </c>
      <c r="D95" s="5" t="s">
        <v>50</v>
      </c>
      <c r="E95" t="s">
        <v>51</v>
      </c>
      <c r="F95" s="6">
        <v>45145</v>
      </c>
      <c r="G95" s="7">
        <v>0.34722222222222199</v>
      </c>
      <c r="H95" t="s">
        <v>52</v>
      </c>
      <c r="I95" s="5" t="s">
        <v>53</v>
      </c>
      <c r="J95" t="s">
        <v>54</v>
      </c>
      <c r="K95" s="6">
        <v>45145</v>
      </c>
      <c r="L95" s="23">
        <v>0.75</v>
      </c>
      <c r="M95" s="5">
        <v>119661</v>
      </c>
      <c r="N95" s="5" t="s">
        <v>55</v>
      </c>
      <c r="O95" s="8" t="s">
        <v>56</v>
      </c>
      <c r="Q95" t="s">
        <v>57</v>
      </c>
      <c r="R95" s="5" t="s">
        <v>58</v>
      </c>
      <c r="S95" s="9">
        <v>10</v>
      </c>
      <c r="T95" s="9">
        <v>5</v>
      </c>
      <c r="U95" s="9">
        <v>5</v>
      </c>
      <c r="V95" s="10">
        <f>Table1[[#This Row],[MARGIN '[€']]]/Table1[[#This Row],[SALES '[€']]]</f>
        <v>0.5</v>
      </c>
      <c r="W95" s="5">
        <v>9215166441</v>
      </c>
      <c r="X95" s="5" t="s">
        <v>329</v>
      </c>
      <c r="Y95" s="4">
        <v>82</v>
      </c>
      <c r="AA95" t="s">
        <v>89</v>
      </c>
      <c r="AL95" t="s">
        <v>61</v>
      </c>
    </row>
    <row r="96" spans="1:38" x14ac:dyDescent="0.25">
      <c r="A96" s="4">
        <v>32</v>
      </c>
      <c r="B96" t="s">
        <v>48</v>
      </c>
      <c r="C96" t="s">
        <v>49</v>
      </c>
      <c r="D96" s="5" t="s">
        <v>50</v>
      </c>
      <c r="E96" t="s">
        <v>51</v>
      </c>
      <c r="F96" s="6">
        <v>45145</v>
      </c>
      <c r="G96" s="7">
        <v>0.36111111111111099</v>
      </c>
      <c r="H96" t="s">
        <v>52</v>
      </c>
      <c r="I96" s="5" t="s">
        <v>53</v>
      </c>
      <c r="J96" t="s">
        <v>54</v>
      </c>
      <c r="K96" s="6">
        <v>45145</v>
      </c>
      <c r="L96" s="23">
        <v>0.75</v>
      </c>
      <c r="M96" s="5">
        <v>119662</v>
      </c>
      <c r="N96" s="5" t="s">
        <v>55</v>
      </c>
      <c r="O96" s="8" t="s">
        <v>56</v>
      </c>
      <c r="Q96" t="s">
        <v>64</v>
      </c>
      <c r="R96" s="5" t="s">
        <v>58</v>
      </c>
      <c r="S96" s="9">
        <v>10</v>
      </c>
      <c r="T96" s="9">
        <v>5</v>
      </c>
      <c r="U96" s="9">
        <v>5</v>
      </c>
      <c r="V96" s="10">
        <f>Table1[[#This Row],[MARGIN '[€']]]/Table1[[#This Row],[SALES '[€']]]</f>
        <v>0.5</v>
      </c>
      <c r="W96" s="5">
        <v>9215166444</v>
      </c>
      <c r="X96" s="5" t="s">
        <v>330</v>
      </c>
      <c r="Y96" s="4">
        <v>82</v>
      </c>
      <c r="AA96" t="s">
        <v>89</v>
      </c>
      <c r="AL96" t="s">
        <v>61</v>
      </c>
    </row>
    <row r="97" spans="1:38" x14ac:dyDescent="0.25">
      <c r="A97" s="4">
        <v>32</v>
      </c>
      <c r="B97" t="s">
        <v>137</v>
      </c>
      <c r="C97" t="s">
        <v>52</v>
      </c>
      <c r="D97" s="5" t="s">
        <v>53</v>
      </c>
      <c r="E97" t="s">
        <v>54</v>
      </c>
      <c r="F97" s="6">
        <v>45145</v>
      </c>
      <c r="G97" s="7">
        <v>0.16666666666666699</v>
      </c>
      <c r="H97" t="s">
        <v>49</v>
      </c>
      <c r="I97" s="5" t="s">
        <v>50</v>
      </c>
      <c r="J97" t="s">
        <v>51</v>
      </c>
      <c r="K97" s="6">
        <v>45145</v>
      </c>
      <c r="L97" s="23">
        <v>0.75</v>
      </c>
      <c r="M97" s="5" t="s">
        <v>331</v>
      </c>
      <c r="N97" s="5" t="s">
        <v>55</v>
      </c>
      <c r="O97" s="8" t="s">
        <v>56</v>
      </c>
      <c r="P97" t="s">
        <v>76</v>
      </c>
      <c r="Q97" t="s">
        <v>64</v>
      </c>
      <c r="R97" s="5" t="s">
        <v>58</v>
      </c>
      <c r="S97" s="9">
        <v>10</v>
      </c>
      <c r="T97" s="9">
        <v>5</v>
      </c>
      <c r="U97" s="9">
        <v>5</v>
      </c>
      <c r="V97" s="10">
        <f>Table1[[#This Row],[MARGIN '[€']]]/Table1[[#This Row],[SALES '[€']]]</f>
        <v>0.5</v>
      </c>
      <c r="W97" s="5">
        <v>9215166456</v>
      </c>
      <c r="X97" s="5" t="s">
        <v>332</v>
      </c>
      <c r="Y97" s="4">
        <v>82</v>
      </c>
      <c r="AA97" t="s">
        <v>60</v>
      </c>
      <c r="AL97" t="s">
        <v>61</v>
      </c>
    </row>
    <row r="98" spans="1:38" x14ac:dyDescent="0.25">
      <c r="A98" s="4">
        <v>32</v>
      </c>
      <c r="B98" t="s">
        <v>333</v>
      </c>
      <c r="C98" t="s">
        <v>49</v>
      </c>
      <c r="D98" s="5" t="s">
        <v>334</v>
      </c>
      <c r="E98" t="s">
        <v>335</v>
      </c>
      <c r="F98" s="6">
        <v>45145</v>
      </c>
      <c r="G98" s="7">
        <v>0.58333333333333304</v>
      </c>
      <c r="H98" t="s">
        <v>138</v>
      </c>
      <c r="I98" s="5">
        <v>49</v>
      </c>
      <c r="J98" t="s">
        <v>336</v>
      </c>
      <c r="K98" s="6">
        <v>45148</v>
      </c>
      <c r="L98" s="23">
        <v>0.41666666666666702</v>
      </c>
      <c r="M98" s="5">
        <v>1002913144</v>
      </c>
      <c r="N98" s="5" t="s">
        <v>337</v>
      </c>
      <c r="O98" s="8" t="s">
        <v>338</v>
      </c>
      <c r="P98" t="s">
        <v>339</v>
      </c>
      <c r="Q98" t="s">
        <v>340</v>
      </c>
      <c r="R98" s="5" t="s">
        <v>145</v>
      </c>
      <c r="S98" s="9">
        <v>10</v>
      </c>
      <c r="T98" s="9">
        <v>5</v>
      </c>
      <c r="U98" s="9">
        <v>5</v>
      </c>
      <c r="V98" s="10">
        <f>Table1[[#This Row],[MARGIN '[€']]]/Table1[[#This Row],[SALES '[€']]]</f>
        <v>0.5</v>
      </c>
      <c r="W98" s="5">
        <v>9215166297</v>
      </c>
      <c r="X98" s="5" t="s">
        <v>341</v>
      </c>
      <c r="Y98" s="4">
        <v>1883</v>
      </c>
      <c r="Z98" t="s">
        <v>339</v>
      </c>
      <c r="AA98" t="s">
        <v>342</v>
      </c>
      <c r="AL98" t="s">
        <v>61</v>
      </c>
    </row>
    <row r="99" spans="1:38" x14ac:dyDescent="0.25">
      <c r="A99" s="4">
        <v>32</v>
      </c>
      <c r="B99" t="s">
        <v>48</v>
      </c>
      <c r="C99" t="s">
        <v>49</v>
      </c>
      <c r="D99" s="5" t="s">
        <v>102</v>
      </c>
      <c r="E99" t="s">
        <v>103</v>
      </c>
      <c r="F99" s="6">
        <v>45145</v>
      </c>
      <c r="G99" s="7">
        <v>0.46875</v>
      </c>
      <c r="H99" t="s">
        <v>90</v>
      </c>
      <c r="I99" s="5" t="s">
        <v>304</v>
      </c>
      <c r="J99" t="s">
        <v>305</v>
      </c>
      <c r="K99" s="6">
        <v>45146</v>
      </c>
      <c r="L99" s="23">
        <v>0.41666666666666702</v>
      </c>
      <c r="M99" s="5">
        <v>119585</v>
      </c>
      <c r="N99" s="5" t="s">
        <v>55</v>
      </c>
      <c r="O99" s="8" t="s">
        <v>56</v>
      </c>
      <c r="Q99" t="s">
        <v>343</v>
      </c>
      <c r="R99" s="5" t="s">
        <v>344</v>
      </c>
      <c r="S99" s="9">
        <v>10</v>
      </c>
      <c r="T99" s="9">
        <v>5</v>
      </c>
      <c r="U99" s="9">
        <v>5</v>
      </c>
      <c r="V99" s="10">
        <f>Table1[[#This Row],[MARGIN '[€']]]/Table1[[#This Row],[SALES '[€']]]</f>
        <v>0.5</v>
      </c>
      <c r="W99" s="5">
        <v>9215166405</v>
      </c>
      <c r="X99" s="5" t="s">
        <v>345</v>
      </c>
      <c r="Y99" s="4">
        <v>621</v>
      </c>
      <c r="AA99" t="s">
        <v>60</v>
      </c>
      <c r="AL99" t="s">
        <v>61</v>
      </c>
    </row>
    <row r="100" spans="1:38" x14ac:dyDescent="0.25">
      <c r="A100" s="4">
        <v>32</v>
      </c>
      <c r="B100" t="s">
        <v>48</v>
      </c>
      <c r="C100" t="s">
        <v>49</v>
      </c>
      <c r="D100" s="5" t="s">
        <v>50</v>
      </c>
      <c r="E100" t="s">
        <v>51</v>
      </c>
      <c r="F100" s="6">
        <v>45145</v>
      </c>
      <c r="G100" s="7">
        <v>0.22916666666666699</v>
      </c>
      <c r="H100" t="s">
        <v>90</v>
      </c>
      <c r="I100" s="5">
        <v>24</v>
      </c>
      <c r="J100" t="s">
        <v>92</v>
      </c>
      <c r="K100" s="6">
        <v>45145</v>
      </c>
      <c r="L100" s="23">
        <v>0.49652777777777801</v>
      </c>
      <c r="M100" s="5">
        <v>119632</v>
      </c>
      <c r="N100" s="5" t="s">
        <v>346</v>
      </c>
      <c r="O100" s="8" t="s">
        <v>56</v>
      </c>
      <c r="Q100" t="s">
        <v>347</v>
      </c>
      <c r="R100" s="5" t="s">
        <v>98</v>
      </c>
      <c r="S100" s="9">
        <v>10</v>
      </c>
      <c r="T100" s="9">
        <v>5</v>
      </c>
      <c r="U100" s="9">
        <v>5</v>
      </c>
      <c r="V100" s="10">
        <f>Table1[[#This Row],[MARGIN '[€']]]/Table1[[#This Row],[SALES '[€']]]</f>
        <v>0.5</v>
      </c>
      <c r="W100" s="5">
        <v>9215166419</v>
      </c>
      <c r="X100" s="5" t="s">
        <v>348</v>
      </c>
      <c r="Y100" s="4">
        <v>441</v>
      </c>
      <c r="Z100" t="s">
        <v>349</v>
      </c>
      <c r="AA100" t="s">
        <v>60</v>
      </c>
      <c r="AL100" t="s">
        <v>61</v>
      </c>
    </row>
    <row r="101" spans="1:38" x14ac:dyDescent="0.25">
      <c r="A101" s="4">
        <v>32</v>
      </c>
      <c r="B101" t="s">
        <v>48</v>
      </c>
      <c r="C101" t="s">
        <v>49</v>
      </c>
      <c r="D101" s="5" t="s">
        <v>50</v>
      </c>
      <c r="E101" t="s">
        <v>51</v>
      </c>
      <c r="F101" s="6">
        <v>45145</v>
      </c>
      <c r="G101" s="7">
        <v>0.52083333333333304</v>
      </c>
      <c r="H101" t="s">
        <v>90</v>
      </c>
      <c r="I101" s="5">
        <v>24</v>
      </c>
      <c r="J101" t="s">
        <v>92</v>
      </c>
      <c r="K101" s="6">
        <v>45146</v>
      </c>
      <c r="L101" s="23">
        <v>0.30902777777777801</v>
      </c>
      <c r="M101" s="5">
        <v>119634</v>
      </c>
      <c r="N101" s="5" t="s">
        <v>69</v>
      </c>
      <c r="O101" s="8" t="s">
        <v>56</v>
      </c>
      <c r="P101" t="s">
        <v>76</v>
      </c>
      <c r="Q101" t="s">
        <v>117</v>
      </c>
      <c r="R101" s="5" t="s">
        <v>118</v>
      </c>
      <c r="S101" s="9">
        <v>10</v>
      </c>
      <c r="T101" s="9">
        <v>5</v>
      </c>
      <c r="U101" s="9">
        <v>5</v>
      </c>
      <c r="V101" s="10">
        <f>Table1[[#This Row],[MARGIN '[€']]]/Table1[[#This Row],[SALES '[€']]]</f>
        <v>0.5</v>
      </c>
      <c r="W101" s="5" t="s">
        <v>350</v>
      </c>
      <c r="X101" s="5" t="s">
        <v>351</v>
      </c>
      <c r="Y101" s="4">
        <v>441</v>
      </c>
      <c r="Z101" t="s">
        <v>352</v>
      </c>
      <c r="AA101" t="s">
        <v>60</v>
      </c>
      <c r="AL101" t="s">
        <v>61</v>
      </c>
    </row>
    <row r="102" spans="1:38" x14ac:dyDescent="0.25">
      <c r="A102" s="4">
        <v>32</v>
      </c>
      <c r="B102" t="s">
        <v>48</v>
      </c>
      <c r="C102" t="s">
        <v>49</v>
      </c>
      <c r="D102" s="5" t="s">
        <v>50</v>
      </c>
      <c r="E102" t="s">
        <v>51</v>
      </c>
      <c r="F102" s="6">
        <v>45145</v>
      </c>
      <c r="G102" s="7">
        <v>0.55555555555555602</v>
      </c>
      <c r="H102" t="s">
        <v>90</v>
      </c>
      <c r="I102" s="5">
        <v>24</v>
      </c>
      <c r="J102" t="s">
        <v>92</v>
      </c>
      <c r="K102" s="6">
        <v>45146</v>
      </c>
      <c r="L102" s="23">
        <v>0.62152777777777801</v>
      </c>
      <c r="M102" s="5">
        <v>119639</v>
      </c>
      <c r="N102" s="5" t="s">
        <v>69</v>
      </c>
      <c r="O102" s="8" t="s">
        <v>56</v>
      </c>
      <c r="Q102" t="s">
        <v>104</v>
      </c>
      <c r="R102" s="5" t="s">
        <v>94</v>
      </c>
      <c r="S102" s="9">
        <v>10</v>
      </c>
      <c r="T102" s="9">
        <v>5</v>
      </c>
      <c r="U102" s="9">
        <v>5</v>
      </c>
      <c r="V102" s="10">
        <f>Table1[[#This Row],[MARGIN '[€']]]/Table1[[#This Row],[SALES '[€']]]</f>
        <v>0.5</v>
      </c>
      <c r="W102" s="5">
        <v>9215166572</v>
      </c>
      <c r="X102" s="5" t="s">
        <v>353</v>
      </c>
      <c r="Y102" s="4">
        <v>441</v>
      </c>
      <c r="Z102" t="s">
        <v>354</v>
      </c>
      <c r="AA102" t="s">
        <v>60</v>
      </c>
      <c r="AL102" t="s">
        <v>61</v>
      </c>
    </row>
    <row r="103" spans="1:38" x14ac:dyDescent="0.25">
      <c r="A103" s="4">
        <v>32</v>
      </c>
      <c r="B103" t="s">
        <v>48</v>
      </c>
      <c r="C103" t="s">
        <v>49</v>
      </c>
      <c r="D103" s="5" t="s">
        <v>50</v>
      </c>
      <c r="E103" t="s">
        <v>51</v>
      </c>
      <c r="F103" s="6">
        <v>45145</v>
      </c>
      <c r="G103" s="7">
        <v>0.625</v>
      </c>
      <c r="H103" t="s">
        <v>90</v>
      </c>
      <c r="I103" s="5">
        <v>24</v>
      </c>
      <c r="J103" t="s">
        <v>92</v>
      </c>
      <c r="K103" s="6">
        <v>45146</v>
      </c>
      <c r="L103" s="23">
        <v>0.24652777777777801</v>
      </c>
      <c r="M103" s="5">
        <v>119640</v>
      </c>
      <c r="N103" s="5" t="s">
        <v>69</v>
      </c>
      <c r="O103" s="8" t="s">
        <v>56</v>
      </c>
      <c r="Q103" t="s">
        <v>355</v>
      </c>
      <c r="R103" s="5" t="s">
        <v>356</v>
      </c>
      <c r="S103" s="9">
        <v>10</v>
      </c>
      <c r="T103" s="9">
        <v>5</v>
      </c>
      <c r="U103" s="9">
        <v>5</v>
      </c>
      <c r="V103" s="10">
        <f>Table1[[#This Row],[MARGIN '[€']]]/Table1[[#This Row],[SALES '[€']]]</f>
        <v>0.5</v>
      </c>
      <c r="W103" s="5">
        <v>9215166421</v>
      </c>
      <c r="X103" s="5" t="s">
        <v>357</v>
      </c>
      <c r="Y103" s="4">
        <v>441</v>
      </c>
      <c r="Z103" t="s">
        <v>358</v>
      </c>
      <c r="AA103" t="s">
        <v>60</v>
      </c>
      <c r="AL103" t="s">
        <v>61</v>
      </c>
    </row>
    <row r="104" spans="1:38" x14ac:dyDescent="0.25">
      <c r="A104" s="4">
        <v>32</v>
      </c>
      <c r="B104" t="s">
        <v>48</v>
      </c>
      <c r="C104" t="s">
        <v>49</v>
      </c>
      <c r="D104" s="5" t="s">
        <v>102</v>
      </c>
      <c r="E104" t="s">
        <v>103</v>
      </c>
      <c r="F104" s="6">
        <v>45145</v>
      </c>
      <c r="G104" s="7">
        <v>0.8125</v>
      </c>
      <c r="H104" t="s">
        <v>49</v>
      </c>
      <c r="I104" s="5">
        <v>94</v>
      </c>
      <c r="J104" t="s">
        <v>110</v>
      </c>
      <c r="K104" s="6">
        <v>45146</v>
      </c>
      <c r="L104" s="23">
        <v>0.33333333333333298</v>
      </c>
      <c r="M104" s="5">
        <v>119690</v>
      </c>
      <c r="N104" s="5" t="s">
        <v>69</v>
      </c>
      <c r="O104" s="8" t="s">
        <v>56</v>
      </c>
      <c r="Q104" t="s">
        <v>111</v>
      </c>
      <c r="R104" s="5" t="s">
        <v>112</v>
      </c>
      <c r="S104" s="9">
        <v>10</v>
      </c>
      <c r="T104" s="9">
        <v>5</v>
      </c>
      <c r="U104" s="9">
        <v>5</v>
      </c>
      <c r="V104" s="10">
        <f>Table1[[#This Row],[MARGIN '[€']]]/Table1[[#This Row],[SALES '[€']]]</f>
        <v>0.5</v>
      </c>
      <c r="W104" s="5">
        <v>9215166432</v>
      </c>
      <c r="X104" s="5" t="s">
        <v>359</v>
      </c>
      <c r="Y104" s="4">
        <v>345</v>
      </c>
      <c r="AA104" t="s">
        <v>89</v>
      </c>
      <c r="AL104" t="s">
        <v>61</v>
      </c>
    </row>
    <row r="105" spans="1:38" x14ac:dyDescent="0.25">
      <c r="A105" s="4">
        <v>32</v>
      </c>
      <c r="B105" t="s">
        <v>48</v>
      </c>
      <c r="C105" t="s">
        <v>49</v>
      </c>
      <c r="D105" s="5" t="s">
        <v>102</v>
      </c>
      <c r="E105" t="s">
        <v>103</v>
      </c>
      <c r="F105" s="6">
        <v>45145</v>
      </c>
      <c r="G105" s="7">
        <v>0.5</v>
      </c>
      <c r="H105" t="s">
        <v>49</v>
      </c>
      <c r="I105" s="5">
        <v>94</v>
      </c>
      <c r="J105" t="s">
        <v>110</v>
      </c>
      <c r="K105" s="6">
        <v>45146</v>
      </c>
      <c r="L105" s="23">
        <v>0.375</v>
      </c>
      <c r="M105" s="5">
        <v>119691</v>
      </c>
      <c r="N105" s="5" t="s">
        <v>69</v>
      </c>
      <c r="O105" s="8" t="s">
        <v>56</v>
      </c>
      <c r="Q105" t="s">
        <v>360</v>
      </c>
      <c r="R105" s="5" t="s">
        <v>266</v>
      </c>
      <c r="S105" s="9">
        <v>10</v>
      </c>
      <c r="T105" s="9">
        <v>5</v>
      </c>
      <c r="U105" s="9">
        <v>5</v>
      </c>
      <c r="V105" s="10">
        <f>Table1[[#This Row],[MARGIN '[€']]]/Table1[[#This Row],[SALES '[€']]]</f>
        <v>0.5</v>
      </c>
      <c r="W105" s="5">
        <v>9215166433</v>
      </c>
      <c r="X105" s="5" t="s">
        <v>361</v>
      </c>
      <c r="Y105" s="4">
        <v>345</v>
      </c>
      <c r="AA105" t="s">
        <v>89</v>
      </c>
      <c r="AL105" t="s">
        <v>61</v>
      </c>
    </row>
    <row r="106" spans="1:38" x14ac:dyDescent="0.25">
      <c r="A106" s="4">
        <v>32</v>
      </c>
      <c r="B106" t="s">
        <v>48</v>
      </c>
      <c r="C106" t="s">
        <v>49</v>
      </c>
      <c r="D106" s="5" t="s">
        <v>50</v>
      </c>
      <c r="E106" t="s">
        <v>51</v>
      </c>
      <c r="F106" s="6">
        <v>45145</v>
      </c>
      <c r="G106" s="7">
        <v>0.47222222222222199</v>
      </c>
      <c r="H106" t="s">
        <v>49</v>
      </c>
      <c r="I106" s="5">
        <v>94</v>
      </c>
      <c r="J106" t="s">
        <v>110</v>
      </c>
      <c r="K106" s="6">
        <v>45146</v>
      </c>
      <c r="L106" s="23">
        <v>0.41666666666666702</v>
      </c>
      <c r="M106" s="5">
        <v>119692</v>
      </c>
      <c r="N106" s="5" t="s">
        <v>69</v>
      </c>
      <c r="O106" s="8" t="s">
        <v>56</v>
      </c>
      <c r="Q106" t="s">
        <v>362</v>
      </c>
      <c r="R106" s="5" t="s">
        <v>317</v>
      </c>
      <c r="S106" s="9">
        <v>10</v>
      </c>
      <c r="T106" s="9">
        <v>5</v>
      </c>
      <c r="U106" s="9">
        <v>5</v>
      </c>
      <c r="V106" s="10">
        <f>Table1[[#This Row],[MARGIN '[€']]]/Table1[[#This Row],[SALES '[€']]]</f>
        <v>0.5</v>
      </c>
      <c r="W106" s="5">
        <v>9215166434</v>
      </c>
      <c r="X106" s="5" t="s">
        <v>363</v>
      </c>
      <c r="Y106" s="4">
        <v>345</v>
      </c>
      <c r="AA106" t="s">
        <v>89</v>
      </c>
      <c r="AL106" t="s">
        <v>61</v>
      </c>
    </row>
    <row r="107" spans="1:38" x14ac:dyDescent="0.25">
      <c r="A107" s="4">
        <v>32</v>
      </c>
      <c r="B107" t="s">
        <v>137</v>
      </c>
      <c r="C107" t="s">
        <v>49</v>
      </c>
      <c r="D107" s="5" t="s">
        <v>50</v>
      </c>
      <c r="E107" t="s">
        <v>51</v>
      </c>
      <c r="F107" s="6">
        <v>45145</v>
      </c>
      <c r="G107" s="7">
        <v>0.25</v>
      </c>
      <c r="H107" t="s">
        <v>49</v>
      </c>
      <c r="I107" s="5" t="s">
        <v>102</v>
      </c>
      <c r="J107" t="s">
        <v>103</v>
      </c>
      <c r="K107" s="6">
        <v>45145</v>
      </c>
      <c r="L107" s="23">
        <v>0.3125</v>
      </c>
      <c r="M107" s="5" t="s">
        <v>364</v>
      </c>
      <c r="N107" s="5" t="s">
        <v>69</v>
      </c>
      <c r="O107" s="8" t="s">
        <v>56</v>
      </c>
      <c r="Q107" t="s">
        <v>316</v>
      </c>
      <c r="R107" s="5" t="s">
        <v>317</v>
      </c>
      <c r="S107" s="9">
        <v>10</v>
      </c>
      <c r="T107" s="9">
        <v>5</v>
      </c>
      <c r="U107" s="9">
        <v>5</v>
      </c>
      <c r="V107" s="10">
        <f>Table1[[#This Row],[MARGIN '[€']]]/Table1[[#This Row],[SALES '[€']]]</f>
        <v>0.5</v>
      </c>
      <c r="W107" s="5">
        <v>9215166427</v>
      </c>
      <c r="X107" s="5" t="s">
        <v>365</v>
      </c>
      <c r="Y107" s="4">
        <v>57</v>
      </c>
      <c r="AA107" t="s">
        <v>89</v>
      </c>
      <c r="AL107" t="s">
        <v>61</v>
      </c>
    </row>
    <row r="108" spans="1:38" x14ac:dyDescent="0.25">
      <c r="A108" s="4">
        <v>32</v>
      </c>
      <c r="B108" t="s">
        <v>137</v>
      </c>
      <c r="C108" t="s">
        <v>49</v>
      </c>
      <c r="D108" s="5" t="s">
        <v>50</v>
      </c>
      <c r="E108" t="s">
        <v>51</v>
      </c>
      <c r="F108" s="6">
        <v>45145</v>
      </c>
      <c r="G108" s="7">
        <v>0.375</v>
      </c>
      <c r="H108" t="s">
        <v>49</v>
      </c>
      <c r="I108" s="5" t="s">
        <v>102</v>
      </c>
      <c r="J108" t="s">
        <v>103</v>
      </c>
      <c r="K108" s="6">
        <v>45145</v>
      </c>
      <c r="L108" s="23">
        <v>0.4375</v>
      </c>
      <c r="M108" s="5" t="s">
        <v>366</v>
      </c>
      <c r="N108" s="5" t="s">
        <v>69</v>
      </c>
      <c r="O108" s="8" t="s">
        <v>56</v>
      </c>
      <c r="Q108" t="s">
        <v>316</v>
      </c>
      <c r="R108" s="5" t="s">
        <v>317</v>
      </c>
      <c r="S108" s="9">
        <v>10</v>
      </c>
      <c r="T108" s="9">
        <v>5</v>
      </c>
      <c r="U108" s="9">
        <v>5</v>
      </c>
      <c r="V108" s="10">
        <f>Table1[[#This Row],[MARGIN '[€']]]/Table1[[#This Row],[SALES '[€']]]</f>
        <v>0.5</v>
      </c>
      <c r="W108" s="5">
        <v>9215166428</v>
      </c>
      <c r="X108" s="5" t="s">
        <v>365</v>
      </c>
      <c r="Y108" s="4">
        <v>57</v>
      </c>
      <c r="AA108" t="s">
        <v>89</v>
      </c>
      <c r="AL108" t="s">
        <v>61</v>
      </c>
    </row>
    <row r="109" spans="1:38" x14ac:dyDescent="0.25">
      <c r="A109" s="4">
        <v>32</v>
      </c>
      <c r="B109" t="s">
        <v>137</v>
      </c>
      <c r="C109" t="s">
        <v>49</v>
      </c>
      <c r="D109" s="5" t="s">
        <v>50</v>
      </c>
      <c r="E109" t="s">
        <v>51</v>
      </c>
      <c r="F109" s="6">
        <v>45145</v>
      </c>
      <c r="G109" s="7">
        <v>0.5</v>
      </c>
      <c r="H109" t="s">
        <v>49</v>
      </c>
      <c r="I109" s="5" t="s">
        <v>102</v>
      </c>
      <c r="J109" t="s">
        <v>103</v>
      </c>
      <c r="K109" s="6">
        <v>45145</v>
      </c>
      <c r="L109" s="23">
        <v>0.5625</v>
      </c>
      <c r="M109" s="5" t="s">
        <v>367</v>
      </c>
      <c r="N109" s="5" t="s">
        <v>69</v>
      </c>
      <c r="O109" s="8" t="s">
        <v>56</v>
      </c>
      <c r="Q109" t="s">
        <v>316</v>
      </c>
      <c r="R109" s="5" t="s">
        <v>317</v>
      </c>
      <c r="S109" s="9">
        <v>10</v>
      </c>
      <c r="T109" s="9">
        <v>5</v>
      </c>
      <c r="U109" s="9">
        <v>5</v>
      </c>
      <c r="V109" s="10">
        <f>Table1[[#This Row],[MARGIN '[€']]]/Table1[[#This Row],[SALES '[€']]]</f>
        <v>0.5</v>
      </c>
      <c r="W109" s="5">
        <v>9215166429</v>
      </c>
      <c r="X109" s="5" t="s">
        <v>365</v>
      </c>
      <c r="Y109" s="4">
        <v>57</v>
      </c>
      <c r="AA109" t="s">
        <v>89</v>
      </c>
      <c r="AL109" t="s">
        <v>61</v>
      </c>
    </row>
    <row r="110" spans="1:38" x14ac:dyDescent="0.25">
      <c r="A110" s="4">
        <v>32</v>
      </c>
      <c r="B110" t="s">
        <v>137</v>
      </c>
      <c r="C110" t="s">
        <v>49</v>
      </c>
      <c r="D110" s="5" t="s">
        <v>50</v>
      </c>
      <c r="E110" t="s">
        <v>51</v>
      </c>
      <c r="F110" s="6">
        <v>45145</v>
      </c>
      <c r="G110" s="7">
        <v>0.29166666666666702</v>
      </c>
      <c r="H110" t="s">
        <v>49</v>
      </c>
      <c r="I110" s="5" t="s">
        <v>102</v>
      </c>
      <c r="J110" t="s">
        <v>103</v>
      </c>
      <c r="K110" s="6">
        <v>45145</v>
      </c>
      <c r="L110" s="23">
        <v>0.35416666666666702</v>
      </c>
      <c r="M110" s="5" t="s">
        <v>368</v>
      </c>
      <c r="N110" s="5" t="s">
        <v>69</v>
      </c>
      <c r="O110" s="8" t="s">
        <v>56</v>
      </c>
      <c r="Q110" t="s">
        <v>369</v>
      </c>
      <c r="R110" s="5" t="s">
        <v>317</v>
      </c>
      <c r="S110" s="9">
        <v>10</v>
      </c>
      <c r="T110" s="9">
        <v>5</v>
      </c>
      <c r="U110" s="9">
        <v>5</v>
      </c>
      <c r="V110" s="10">
        <f>Table1[[#This Row],[MARGIN '[€']]]/Table1[[#This Row],[SALES '[€']]]</f>
        <v>0.5</v>
      </c>
      <c r="W110" s="5">
        <v>9215166430</v>
      </c>
      <c r="X110" s="5" t="s">
        <v>370</v>
      </c>
      <c r="Y110" s="4">
        <v>57</v>
      </c>
      <c r="AA110" t="s">
        <v>89</v>
      </c>
      <c r="AL110" t="s">
        <v>61</v>
      </c>
    </row>
    <row r="111" spans="1:38" x14ac:dyDescent="0.25">
      <c r="A111" s="4">
        <v>32</v>
      </c>
      <c r="B111" t="s">
        <v>137</v>
      </c>
      <c r="C111" t="s">
        <v>49</v>
      </c>
      <c r="D111" s="5" t="s">
        <v>50</v>
      </c>
      <c r="E111" t="s">
        <v>51</v>
      </c>
      <c r="F111" s="6">
        <v>45145</v>
      </c>
      <c r="G111" s="7">
        <v>0.41666666666666702</v>
      </c>
      <c r="H111" t="s">
        <v>49</v>
      </c>
      <c r="I111" s="5" t="s">
        <v>102</v>
      </c>
      <c r="J111" t="s">
        <v>103</v>
      </c>
      <c r="K111" s="6">
        <v>45145</v>
      </c>
      <c r="L111" s="23">
        <v>0.47916666666666702</v>
      </c>
      <c r="M111" s="5" t="s">
        <v>371</v>
      </c>
      <c r="N111" s="5" t="s">
        <v>69</v>
      </c>
      <c r="O111" s="8" t="s">
        <v>56</v>
      </c>
      <c r="Q111" t="s">
        <v>369</v>
      </c>
      <c r="R111" s="5" t="s">
        <v>317</v>
      </c>
      <c r="S111" s="9">
        <v>10</v>
      </c>
      <c r="T111" s="9">
        <v>5</v>
      </c>
      <c r="U111" s="9">
        <v>5</v>
      </c>
      <c r="V111" s="10">
        <f>Table1[[#This Row],[MARGIN '[€']]]/Table1[[#This Row],[SALES '[€']]]</f>
        <v>0.5</v>
      </c>
      <c r="W111" s="5">
        <v>9215166431</v>
      </c>
      <c r="X111" s="5" t="s">
        <v>370</v>
      </c>
      <c r="Y111" s="4">
        <v>57</v>
      </c>
      <c r="AA111" t="s">
        <v>89</v>
      </c>
      <c r="AL111" t="s">
        <v>61</v>
      </c>
    </row>
    <row r="112" spans="1:38" x14ac:dyDescent="0.25">
      <c r="A112" s="4">
        <v>32</v>
      </c>
      <c r="B112" t="s">
        <v>48</v>
      </c>
      <c r="C112" t="s">
        <v>49</v>
      </c>
      <c r="D112" s="5" t="s">
        <v>50</v>
      </c>
      <c r="E112" t="s">
        <v>51</v>
      </c>
      <c r="F112" s="6">
        <v>45146</v>
      </c>
      <c r="G112" s="7">
        <v>0.16666666666666699</v>
      </c>
      <c r="H112" t="s">
        <v>52</v>
      </c>
      <c r="I112" s="5" t="s">
        <v>53</v>
      </c>
      <c r="J112" t="s">
        <v>54</v>
      </c>
      <c r="K112" s="6">
        <v>45146</v>
      </c>
      <c r="L112" s="23">
        <v>0.75</v>
      </c>
      <c r="M112" s="5">
        <v>119663</v>
      </c>
      <c r="N112" s="5" t="s">
        <v>55</v>
      </c>
      <c r="O112" s="8" t="s">
        <v>56</v>
      </c>
      <c r="Q112" t="s">
        <v>62</v>
      </c>
      <c r="R112" s="5" t="s">
        <v>58</v>
      </c>
      <c r="S112" s="9">
        <v>10</v>
      </c>
      <c r="T112" s="9">
        <v>5</v>
      </c>
      <c r="U112" s="9">
        <v>5</v>
      </c>
      <c r="V112" s="10">
        <f>Table1[[#This Row],[MARGIN '[€']]]/Table1[[#This Row],[SALES '[€']]]</f>
        <v>0.5</v>
      </c>
      <c r="W112" s="5">
        <v>9215166457</v>
      </c>
      <c r="X112" s="5" t="s">
        <v>372</v>
      </c>
      <c r="Y112" s="4">
        <v>82</v>
      </c>
      <c r="AA112" t="s">
        <v>89</v>
      </c>
      <c r="AL112" t="s">
        <v>61</v>
      </c>
    </row>
    <row r="113" spans="1:40" x14ac:dyDescent="0.25">
      <c r="A113" s="4">
        <v>32</v>
      </c>
      <c r="B113" t="s">
        <v>48</v>
      </c>
      <c r="C113" t="s">
        <v>49</v>
      </c>
      <c r="D113" s="5" t="s">
        <v>50</v>
      </c>
      <c r="E113" t="s">
        <v>51</v>
      </c>
      <c r="F113" s="6">
        <v>45146</v>
      </c>
      <c r="G113" s="7">
        <v>0.1875</v>
      </c>
      <c r="H113" t="s">
        <v>52</v>
      </c>
      <c r="I113" s="5" t="s">
        <v>53</v>
      </c>
      <c r="J113" t="s">
        <v>54</v>
      </c>
      <c r="K113" s="6">
        <v>45146</v>
      </c>
      <c r="L113" s="23">
        <v>0.75</v>
      </c>
      <c r="M113" s="5">
        <v>119664</v>
      </c>
      <c r="N113" s="5" t="s">
        <v>55</v>
      </c>
      <c r="O113" s="8" t="s">
        <v>56</v>
      </c>
      <c r="Q113" t="s">
        <v>57</v>
      </c>
      <c r="R113" s="5" t="s">
        <v>58</v>
      </c>
      <c r="S113" s="9">
        <v>10</v>
      </c>
      <c r="T113" s="9">
        <v>5</v>
      </c>
      <c r="U113" s="9">
        <v>5</v>
      </c>
      <c r="V113" s="10">
        <f>Table1[[#This Row],[MARGIN '[€']]]/Table1[[#This Row],[SALES '[€']]]</f>
        <v>0.5</v>
      </c>
      <c r="W113" s="5">
        <v>9215166459</v>
      </c>
      <c r="X113" s="5" t="s">
        <v>373</v>
      </c>
      <c r="Y113" s="4">
        <v>82</v>
      </c>
      <c r="AA113" t="s">
        <v>89</v>
      </c>
      <c r="AL113" t="s">
        <v>61</v>
      </c>
    </row>
    <row r="114" spans="1:40" x14ac:dyDescent="0.25">
      <c r="A114" s="4">
        <v>32</v>
      </c>
      <c r="B114" t="s">
        <v>48</v>
      </c>
      <c r="C114" t="s">
        <v>49</v>
      </c>
      <c r="D114" s="5" t="s">
        <v>50</v>
      </c>
      <c r="E114" t="s">
        <v>51</v>
      </c>
      <c r="F114" s="6">
        <v>45146</v>
      </c>
      <c r="G114" s="7">
        <v>0.20833333333333301</v>
      </c>
      <c r="H114" t="s">
        <v>52</v>
      </c>
      <c r="I114" s="5" t="s">
        <v>53</v>
      </c>
      <c r="J114" t="s">
        <v>54</v>
      </c>
      <c r="K114" s="6">
        <v>45146</v>
      </c>
      <c r="L114" s="23">
        <v>0.75</v>
      </c>
      <c r="M114" s="5">
        <v>119665</v>
      </c>
      <c r="N114" s="5" t="s">
        <v>55</v>
      </c>
      <c r="O114" s="8" t="s">
        <v>56</v>
      </c>
      <c r="Q114" t="s">
        <v>64</v>
      </c>
      <c r="R114" s="5" t="s">
        <v>58</v>
      </c>
      <c r="S114" s="9">
        <v>10</v>
      </c>
      <c r="T114" s="9">
        <v>5</v>
      </c>
      <c r="U114" s="9">
        <v>5</v>
      </c>
      <c r="V114" s="10">
        <f>Table1[[#This Row],[MARGIN '[€']]]/Table1[[#This Row],[SALES '[€']]]</f>
        <v>0.5</v>
      </c>
      <c r="W114" s="5">
        <v>9215166461</v>
      </c>
      <c r="X114" s="5" t="s">
        <v>374</v>
      </c>
      <c r="Y114" s="4">
        <v>82</v>
      </c>
      <c r="AA114" t="s">
        <v>89</v>
      </c>
      <c r="AL114" t="s">
        <v>61</v>
      </c>
    </row>
    <row r="115" spans="1:40" x14ac:dyDescent="0.25">
      <c r="A115" s="4">
        <v>32</v>
      </c>
      <c r="B115" t="s">
        <v>48</v>
      </c>
      <c r="C115" t="s">
        <v>49</v>
      </c>
      <c r="D115" s="5" t="s">
        <v>50</v>
      </c>
      <c r="E115" t="s">
        <v>51</v>
      </c>
      <c r="F115" s="6">
        <v>45146</v>
      </c>
      <c r="G115" s="7">
        <v>0.33333333333333298</v>
      </c>
      <c r="H115" t="s">
        <v>52</v>
      </c>
      <c r="I115" s="5" t="s">
        <v>53</v>
      </c>
      <c r="J115" t="s">
        <v>54</v>
      </c>
      <c r="K115" s="6">
        <v>45146</v>
      </c>
      <c r="L115" s="23">
        <v>0.75</v>
      </c>
      <c r="M115" s="5">
        <v>119666</v>
      </c>
      <c r="N115" s="5" t="s">
        <v>55</v>
      </c>
      <c r="O115" s="8" t="s">
        <v>56</v>
      </c>
      <c r="Q115" t="s">
        <v>62</v>
      </c>
      <c r="R115" s="5" t="s">
        <v>58</v>
      </c>
      <c r="S115" s="9">
        <v>10</v>
      </c>
      <c r="T115" s="9">
        <v>5</v>
      </c>
      <c r="U115" s="9">
        <v>5</v>
      </c>
      <c r="V115" s="10">
        <f>Table1[[#This Row],[MARGIN '[€']]]/Table1[[#This Row],[SALES '[€']]]</f>
        <v>0.5</v>
      </c>
      <c r="W115" s="5">
        <v>9215166458</v>
      </c>
      <c r="X115" s="5" t="s">
        <v>372</v>
      </c>
      <c r="Y115" s="4">
        <v>82</v>
      </c>
      <c r="AA115" t="s">
        <v>89</v>
      </c>
      <c r="AL115" t="s">
        <v>61</v>
      </c>
    </row>
    <row r="116" spans="1:40" x14ac:dyDescent="0.25">
      <c r="A116" s="4">
        <v>32</v>
      </c>
      <c r="B116" t="s">
        <v>48</v>
      </c>
      <c r="C116" t="s">
        <v>49</v>
      </c>
      <c r="D116" s="5" t="s">
        <v>50</v>
      </c>
      <c r="E116" t="s">
        <v>51</v>
      </c>
      <c r="F116" s="6">
        <v>45146</v>
      </c>
      <c r="G116" s="7">
        <v>0.34722222222222199</v>
      </c>
      <c r="H116" t="s">
        <v>52</v>
      </c>
      <c r="I116" s="5" t="s">
        <v>53</v>
      </c>
      <c r="J116" t="s">
        <v>54</v>
      </c>
      <c r="K116" s="6">
        <v>45146</v>
      </c>
      <c r="L116" s="23">
        <v>0.75</v>
      </c>
      <c r="M116" s="5">
        <v>119667</v>
      </c>
      <c r="N116" s="5" t="s">
        <v>55</v>
      </c>
      <c r="O116" s="8" t="s">
        <v>56</v>
      </c>
      <c r="Q116" t="s">
        <v>57</v>
      </c>
      <c r="R116" s="5" t="s">
        <v>58</v>
      </c>
      <c r="S116" s="9">
        <v>10</v>
      </c>
      <c r="T116" s="9">
        <v>5</v>
      </c>
      <c r="U116" s="9">
        <v>5</v>
      </c>
      <c r="V116" s="10">
        <f>Table1[[#This Row],[MARGIN '[€']]]/Table1[[#This Row],[SALES '[€']]]</f>
        <v>0.5</v>
      </c>
      <c r="W116" s="5">
        <v>9215166460</v>
      </c>
      <c r="X116" s="5" t="s">
        <v>373</v>
      </c>
      <c r="Y116" s="4">
        <v>82</v>
      </c>
      <c r="AA116" t="s">
        <v>89</v>
      </c>
      <c r="AL116" t="s">
        <v>61</v>
      </c>
    </row>
    <row r="117" spans="1:40" x14ac:dyDescent="0.25">
      <c r="A117" s="4">
        <v>32</v>
      </c>
      <c r="B117" t="s">
        <v>48</v>
      </c>
      <c r="C117" t="s">
        <v>49</v>
      </c>
      <c r="D117" s="5" t="s">
        <v>50</v>
      </c>
      <c r="E117" t="s">
        <v>51</v>
      </c>
      <c r="F117" s="6">
        <v>45146</v>
      </c>
      <c r="G117" s="7">
        <v>0.36111111111111099</v>
      </c>
      <c r="H117" t="s">
        <v>52</v>
      </c>
      <c r="I117" s="5" t="s">
        <v>53</v>
      </c>
      <c r="J117" t="s">
        <v>54</v>
      </c>
      <c r="K117" s="6">
        <v>45146</v>
      </c>
      <c r="L117" s="23">
        <v>0.75</v>
      </c>
      <c r="M117" s="5">
        <v>119668</v>
      </c>
      <c r="N117" s="5" t="s">
        <v>55</v>
      </c>
      <c r="O117" s="8" t="s">
        <v>56</v>
      </c>
      <c r="Q117" t="s">
        <v>64</v>
      </c>
      <c r="R117" s="5" t="s">
        <v>58</v>
      </c>
      <c r="S117" s="9">
        <v>10</v>
      </c>
      <c r="T117" s="9">
        <v>5</v>
      </c>
      <c r="U117" s="9">
        <v>5</v>
      </c>
      <c r="V117" s="10">
        <f>Table1[[#This Row],[MARGIN '[€']]]/Table1[[#This Row],[SALES '[€']]]</f>
        <v>0.5</v>
      </c>
      <c r="W117" s="5">
        <v>9215166463</v>
      </c>
      <c r="X117" s="5" t="s">
        <v>374</v>
      </c>
      <c r="Y117" s="4">
        <v>82</v>
      </c>
      <c r="AA117" t="s">
        <v>89</v>
      </c>
      <c r="AL117" t="s">
        <v>61</v>
      </c>
    </row>
    <row r="118" spans="1:40" x14ac:dyDescent="0.25">
      <c r="A118" s="4">
        <v>32</v>
      </c>
      <c r="B118" t="s">
        <v>137</v>
      </c>
      <c r="C118" t="s">
        <v>49</v>
      </c>
      <c r="D118" s="5" t="s">
        <v>50</v>
      </c>
      <c r="E118" t="s">
        <v>51</v>
      </c>
      <c r="F118" s="6">
        <v>45146</v>
      </c>
      <c r="G118" s="7">
        <v>0.375</v>
      </c>
      <c r="H118" t="s">
        <v>138</v>
      </c>
      <c r="I118" s="5" t="s">
        <v>139</v>
      </c>
      <c r="J118" t="s">
        <v>140</v>
      </c>
      <c r="K118" s="6">
        <v>45147</v>
      </c>
      <c r="L118" s="23">
        <v>0.73611111111111105</v>
      </c>
      <c r="M118" s="5" t="s">
        <v>375</v>
      </c>
      <c r="N118" s="5" t="s">
        <v>142</v>
      </c>
      <c r="O118" s="8" t="s">
        <v>56</v>
      </c>
      <c r="P118" t="s">
        <v>143</v>
      </c>
      <c r="Q118" t="s">
        <v>144</v>
      </c>
      <c r="R118" s="5" t="s">
        <v>145</v>
      </c>
      <c r="S118" s="9">
        <v>10</v>
      </c>
      <c r="T118" s="9">
        <v>5</v>
      </c>
      <c r="U118" s="9">
        <v>5</v>
      </c>
      <c r="V118" s="10">
        <f>Table1[[#This Row],[MARGIN '[€']]]/Table1[[#This Row],[SALES '[€']]]</f>
        <v>0.5</v>
      </c>
      <c r="W118" s="5">
        <v>9215166454</v>
      </c>
      <c r="X118" s="5" t="s">
        <v>376</v>
      </c>
      <c r="Y118" s="4">
        <v>1360</v>
      </c>
      <c r="AA118" t="s">
        <v>60</v>
      </c>
      <c r="AL118" t="s">
        <v>61</v>
      </c>
    </row>
    <row r="119" spans="1:40" x14ac:dyDescent="0.25">
      <c r="A119" s="4">
        <v>32</v>
      </c>
      <c r="B119" t="s">
        <v>234</v>
      </c>
      <c r="C119" t="s">
        <v>49</v>
      </c>
      <c r="D119" s="5" t="s">
        <v>50</v>
      </c>
      <c r="E119" t="s">
        <v>235</v>
      </c>
      <c r="F119" s="6">
        <v>45146</v>
      </c>
      <c r="G119" s="7">
        <v>0.33333333333333298</v>
      </c>
      <c r="H119" t="s">
        <v>49</v>
      </c>
      <c r="I119" s="5" t="s">
        <v>377</v>
      </c>
      <c r="J119" t="s">
        <v>378</v>
      </c>
      <c r="K119" s="6">
        <v>45146</v>
      </c>
      <c r="L119" s="23">
        <v>0.5</v>
      </c>
      <c r="M119" s="5" t="s">
        <v>379</v>
      </c>
      <c r="N119" s="5" t="s">
        <v>380</v>
      </c>
      <c r="O119" s="8" t="s">
        <v>238</v>
      </c>
      <c r="P119">
        <v>2000</v>
      </c>
      <c r="Q119" t="s">
        <v>381</v>
      </c>
      <c r="R119" s="5" t="s">
        <v>382</v>
      </c>
      <c r="S119" s="9">
        <v>10</v>
      </c>
      <c r="T119" s="9">
        <v>5</v>
      </c>
      <c r="U119" s="9">
        <v>5</v>
      </c>
      <c r="V119" s="10">
        <f>Table1[[#This Row],[MARGIN '[€']]]/Table1[[#This Row],[SALES '[€']]]</f>
        <v>0.5</v>
      </c>
      <c r="W119" s="5">
        <v>9215166416</v>
      </c>
      <c r="X119" s="5" t="s">
        <v>383</v>
      </c>
      <c r="Y119" s="4">
        <v>62</v>
      </c>
      <c r="AA119" t="s">
        <v>191</v>
      </c>
      <c r="AD119">
        <v>9</v>
      </c>
      <c r="AE119" s="3">
        <v>7</v>
      </c>
      <c r="AL119" t="s">
        <v>61</v>
      </c>
    </row>
    <row r="120" spans="1:40" x14ac:dyDescent="0.25">
      <c r="A120" s="4">
        <v>32</v>
      </c>
      <c r="B120" t="s">
        <v>333</v>
      </c>
      <c r="C120" t="s">
        <v>49</v>
      </c>
      <c r="D120" s="5" t="s">
        <v>334</v>
      </c>
      <c r="E120" t="s">
        <v>335</v>
      </c>
      <c r="F120" s="6">
        <v>45146</v>
      </c>
      <c r="G120" s="7">
        <v>0.79166666666666696</v>
      </c>
      <c r="H120" t="s">
        <v>384</v>
      </c>
      <c r="I120" s="5" t="s">
        <v>385</v>
      </c>
      <c r="J120" t="s">
        <v>386</v>
      </c>
      <c r="K120" s="6">
        <v>45148</v>
      </c>
      <c r="L120" s="23">
        <v>0.5</v>
      </c>
      <c r="M120" s="5">
        <v>1002939719</v>
      </c>
      <c r="N120" s="5" t="s">
        <v>69</v>
      </c>
      <c r="O120" s="8" t="s">
        <v>387</v>
      </c>
      <c r="P120" t="s">
        <v>388</v>
      </c>
      <c r="Q120" t="s">
        <v>389</v>
      </c>
      <c r="R120" s="5" t="s">
        <v>390</v>
      </c>
      <c r="S120" s="9">
        <v>10</v>
      </c>
      <c r="T120" s="9">
        <v>5</v>
      </c>
      <c r="U120" s="9">
        <v>5</v>
      </c>
      <c r="V120" s="10">
        <f>Table1[[#This Row],[MARGIN '[€']]]/Table1[[#This Row],[SALES '[€']]]</f>
        <v>0.5</v>
      </c>
      <c r="W120" s="5">
        <v>9215166407</v>
      </c>
      <c r="X120" s="5" t="s">
        <v>391</v>
      </c>
      <c r="Y120" s="4">
        <v>1214</v>
      </c>
      <c r="Z120">
        <v>0</v>
      </c>
      <c r="AA120" t="s">
        <v>342</v>
      </c>
      <c r="AL120" t="s">
        <v>61</v>
      </c>
      <c r="AN120">
        <v>921</v>
      </c>
    </row>
    <row r="121" spans="1:40" x14ac:dyDescent="0.25">
      <c r="A121" s="4">
        <v>32</v>
      </c>
      <c r="B121" t="s">
        <v>333</v>
      </c>
      <c r="C121" t="s">
        <v>49</v>
      </c>
      <c r="D121" s="5" t="s">
        <v>334</v>
      </c>
      <c r="E121" t="s">
        <v>335</v>
      </c>
      <c r="F121" s="6">
        <v>45146</v>
      </c>
      <c r="G121" s="7">
        <v>0.52083333333333304</v>
      </c>
      <c r="H121" t="s">
        <v>138</v>
      </c>
      <c r="I121" s="5">
        <v>77</v>
      </c>
      <c r="J121" t="s">
        <v>392</v>
      </c>
      <c r="K121" s="6">
        <v>45149</v>
      </c>
      <c r="L121" s="23">
        <v>0.29166666666666702</v>
      </c>
      <c r="M121" s="5">
        <v>1002929117</v>
      </c>
      <c r="N121" s="5" t="s">
        <v>337</v>
      </c>
      <c r="O121" s="8" t="s">
        <v>338</v>
      </c>
      <c r="P121" t="s">
        <v>393</v>
      </c>
      <c r="Q121" t="s">
        <v>394</v>
      </c>
      <c r="R121" s="5" t="s">
        <v>395</v>
      </c>
      <c r="S121" s="9">
        <v>10</v>
      </c>
      <c r="T121" s="9">
        <v>5</v>
      </c>
      <c r="U121" s="9">
        <v>5</v>
      </c>
      <c r="V121" s="10">
        <f>Table1[[#This Row],[MARGIN '[€']]]/Table1[[#This Row],[SALES '[€']]]</f>
        <v>0.5</v>
      </c>
      <c r="W121" s="5">
        <v>9215166360</v>
      </c>
      <c r="X121" s="5" t="s">
        <v>396</v>
      </c>
      <c r="Y121" s="4">
        <v>1571</v>
      </c>
      <c r="Z121" t="s">
        <v>339</v>
      </c>
      <c r="AA121" t="s">
        <v>163</v>
      </c>
      <c r="AL121" t="s">
        <v>61</v>
      </c>
    </row>
    <row r="122" spans="1:40" x14ac:dyDescent="0.25">
      <c r="A122" s="4">
        <v>32</v>
      </c>
      <c r="B122" t="s">
        <v>333</v>
      </c>
      <c r="C122" t="s">
        <v>49</v>
      </c>
      <c r="D122" s="5" t="s">
        <v>334</v>
      </c>
      <c r="E122" t="s">
        <v>335</v>
      </c>
      <c r="F122" s="6">
        <v>45146</v>
      </c>
      <c r="G122" s="7">
        <v>0.70833333333333304</v>
      </c>
      <c r="H122" t="s">
        <v>138</v>
      </c>
      <c r="I122" s="5">
        <v>62</v>
      </c>
      <c r="J122" t="s">
        <v>397</v>
      </c>
      <c r="K122" s="6">
        <v>45149</v>
      </c>
      <c r="L122" s="23">
        <v>0.25</v>
      </c>
      <c r="M122" s="5">
        <v>1002912457</v>
      </c>
      <c r="N122" s="5" t="s">
        <v>337</v>
      </c>
      <c r="O122" s="8" t="s">
        <v>338</v>
      </c>
      <c r="P122" t="s">
        <v>393</v>
      </c>
      <c r="Q122" t="s">
        <v>398</v>
      </c>
      <c r="R122" s="5" t="s">
        <v>399</v>
      </c>
      <c r="S122" s="9">
        <v>10</v>
      </c>
      <c r="T122" s="9">
        <v>5</v>
      </c>
      <c r="U122" s="9">
        <v>5</v>
      </c>
      <c r="V122" s="10">
        <f>Table1[[#This Row],[MARGIN '[€']]]/Table1[[#This Row],[SALES '[€']]]</f>
        <v>0.5</v>
      </c>
      <c r="W122" s="5">
        <v>9215166359</v>
      </c>
      <c r="X122" s="5" t="s">
        <v>400</v>
      </c>
      <c r="Y122" s="4">
        <v>1570</v>
      </c>
      <c r="Z122" t="s">
        <v>339</v>
      </c>
      <c r="AA122" t="s">
        <v>163</v>
      </c>
      <c r="AL122" t="s">
        <v>61</v>
      </c>
    </row>
    <row r="123" spans="1:40" x14ac:dyDescent="0.25">
      <c r="A123" s="4">
        <v>32</v>
      </c>
      <c r="B123" t="s">
        <v>333</v>
      </c>
      <c r="C123" t="s">
        <v>49</v>
      </c>
      <c r="D123" s="5" t="s">
        <v>334</v>
      </c>
      <c r="E123" t="s">
        <v>335</v>
      </c>
      <c r="F123" s="6">
        <v>45146</v>
      </c>
      <c r="G123" s="7">
        <v>0.70833333333333304</v>
      </c>
      <c r="H123" t="s">
        <v>138</v>
      </c>
      <c r="I123" s="5">
        <v>13</v>
      </c>
      <c r="J123" t="s">
        <v>401</v>
      </c>
      <c r="K123" s="6">
        <v>45149</v>
      </c>
      <c r="L123" s="23">
        <v>0.375</v>
      </c>
      <c r="M123" s="5">
        <v>1002915530</v>
      </c>
      <c r="N123" s="5" t="s">
        <v>337</v>
      </c>
      <c r="O123" s="8" t="s">
        <v>338</v>
      </c>
      <c r="P123" t="s">
        <v>393</v>
      </c>
      <c r="Q123" t="s">
        <v>402</v>
      </c>
      <c r="R123" s="5" t="s">
        <v>145</v>
      </c>
      <c r="S123" s="9">
        <v>10</v>
      </c>
      <c r="T123" s="9">
        <v>5</v>
      </c>
      <c r="U123" s="9">
        <v>5</v>
      </c>
      <c r="V123" s="10">
        <f>Table1[[#This Row],[MARGIN '[€']]]/Table1[[#This Row],[SALES '[€']]]</f>
        <v>0.5</v>
      </c>
      <c r="W123" s="5" t="s">
        <v>403</v>
      </c>
      <c r="X123" s="5" t="s">
        <v>404</v>
      </c>
      <c r="Y123" s="4">
        <v>1860</v>
      </c>
      <c r="Z123" t="s">
        <v>339</v>
      </c>
      <c r="AA123" t="s">
        <v>342</v>
      </c>
      <c r="AL123" t="s">
        <v>61</v>
      </c>
    </row>
    <row r="124" spans="1:40" x14ac:dyDescent="0.25">
      <c r="A124" s="4">
        <v>32</v>
      </c>
      <c r="B124" t="s">
        <v>48</v>
      </c>
      <c r="C124" t="s">
        <v>49</v>
      </c>
      <c r="D124" s="5" t="s">
        <v>50</v>
      </c>
      <c r="E124" t="s">
        <v>51</v>
      </c>
      <c r="F124" s="6">
        <v>45146</v>
      </c>
      <c r="G124" s="7">
        <v>0.38888888888888901</v>
      </c>
      <c r="H124" t="s">
        <v>90</v>
      </c>
      <c r="I124" s="5">
        <v>23</v>
      </c>
      <c r="J124" t="s">
        <v>133</v>
      </c>
      <c r="K124" s="6">
        <v>45147</v>
      </c>
      <c r="L124" s="23">
        <v>0.33333333333333298</v>
      </c>
      <c r="M124" s="5">
        <v>119628</v>
      </c>
      <c r="N124" s="5" t="s">
        <v>69</v>
      </c>
      <c r="O124" s="8" t="s">
        <v>56</v>
      </c>
      <c r="P124" t="s">
        <v>76</v>
      </c>
      <c r="Q124" t="s">
        <v>405</v>
      </c>
      <c r="R124" s="5" t="s">
        <v>356</v>
      </c>
      <c r="S124" s="9">
        <v>10</v>
      </c>
      <c r="T124" s="9">
        <v>5</v>
      </c>
      <c r="U124" s="9">
        <v>5</v>
      </c>
      <c r="V124" s="10">
        <f>Table1[[#This Row],[MARGIN '[€']]]/Table1[[#This Row],[SALES '[€']]]</f>
        <v>0.5</v>
      </c>
      <c r="W124" s="5" t="s">
        <v>406</v>
      </c>
      <c r="X124" s="5" t="s">
        <v>407</v>
      </c>
      <c r="Y124" s="4">
        <v>483</v>
      </c>
      <c r="AA124" t="s">
        <v>60</v>
      </c>
      <c r="AL124" t="s">
        <v>61</v>
      </c>
    </row>
    <row r="125" spans="1:40" x14ac:dyDescent="0.25">
      <c r="A125" s="4">
        <v>32</v>
      </c>
      <c r="B125" t="s">
        <v>48</v>
      </c>
      <c r="C125" t="s">
        <v>49</v>
      </c>
      <c r="D125" s="5" t="s">
        <v>102</v>
      </c>
      <c r="E125" t="s">
        <v>103</v>
      </c>
      <c r="F125" s="6">
        <v>45146</v>
      </c>
      <c r="G125" s="7">
        <v>0.28125</v>
      </c>
      <c r="H125" t="s">
        <v>90</v>
      </c>
      <c r="I125" s="5">
        <v>23</v>
      </c>
      <c r="J125" t="s">
        <v>133</v>
      </c>
      <c r="K125" s="6">
        <v>45147</v>
      </c>
      <c r="L125" s="23">
        <v>0.29166666666666702</v>
      </c>
      <c r="M125" s="5">
        <v>119627</v>
      </c>
      <c r="N125" s="5" t="s">
        <v>69</v>
      </c>
      <c r="O125" s="8" t="s">
        <v>56</v>
      </c>
      <c r="Q125" t="s">
        <v>408</v>
      </c>
      <c r="R125" s="5" t="s">
        <v>94</v>
      </c>
      <c r="S125" s="9">
        <v>10</v>
      </c>
      <c r="T125" s="9">
        <v>5</v>
      </c>
      <c r="U125" s="9">
        <v>5</v>
      </c>
      <c r="V125" s="10">
        <f>Table1[[#This Row],[MARGIN '[€']]]/Table1[[#This Row],[SALES '[€']]]</f>
        <v>0.5</v>
      </c>
      <c r="W125" s="5">
        <v>9215166470</v>
      </c>
      <c r="X125" s="5" t="s">
        <v>409</v>
      </c>
      <c r="Y125" s="4">
        <v>483</v>
      </c>
      <c r="AA125" t="s">
        <v>60</v>
      </c>
      <c r="AL125" t="s">
        <v>61</v>
      </c>
    </row>
    <row r="126" spans="1:40" x14ac:dyDescent="0.25">
      <c r="A126" s="4">
        <v>32</v>
      </c>
      <c r="B126" t="s">
        <v>48</v>
      </c>
      <c r="C126" t="s">
        <v>49</v>
      </c>
      <c r="D126" s="5" t="s">
        <v>102</v>
      </c>
      <c r="E126" t="s">
        <v>103</v>
      </c>
      <c r="F126" s="6">
        <v>45146</v>
      </c>
      <c r="G126" s="7">
        <v>0.25</v>
      </c>
      <c r="H126" t="s">
        <v>90</v>
      </c>
      <c r="I126" s="5" t="s">
        <v>304</v>
      </c>
      <c r="J126" t="s">
        <v>305</v>
      </c>
      <c r="K126" s="6">
        <v>45147</v>
      </c>
      <c r="L126" s="23">
        <v>0.41666666666666702</v>
      </c>
      <c r="M126" s="5">
        <v>119857</v>
      </c>
      <c r="N126" s="5" t="s">
        <v>55</v>
      </c>
      <c r="O126" s="8" t="s">
        <v>56</v>
      </c>
      <c r="Q126" t="s">
        <v>410</v>
      </c>
      <c r="R126" s="5" t="s">
        <v>94</v>
      </c>
      <c r="S126" s="9">
        <v>10</v>
      </c>
      <c r="T126" s="9">
        <v>5</v>
      </c>
      <c r="U126" s="9">
        <v>5</v>
      </c>
      <c r="V126" s="10">
        <f>Table1[[#This Row],[MARGIN '[€']]]/Table1[[#This Row],[SALES '[€']]]</f>
        <v>0.5</v>
      </c>
      <c r="W126" s="5">
        <v>9215166467</v>
      </c>
      <c r="X126" s="5" t="s">
        <v>411</v>
      </c>
      <c r="Y126" s="4">
        <v>621</v>
      </c>
      <c r="AA126" t="s">
        <v>60</v>
      </c>
      <c r="AL126" t="s">
        <v>61</v>
      </c>
    </row>
    <row r="127" spans="1:40" x14ac:dyDescent="0.25">
      <c r="A127" s="4">
        <v>32</v>
      </c>
      <c r="B127" t="s">
        <v>48</v>
      </c>
      <c r="C127" t="s">
        <v>49</v>
      </c>
      <c r="D127" s="5" t="s">
        <v>50</v>
      </c>
      <c r="E127" t="s">
        <v>51</v>
      </c>
      <c r="F127" s="6">
        <v>45146</v>
      </c>
      <c r="G127" s="7">
        <v>0.375</v>
      </c>
      <c r="H127" t="s">
        <v>90</v>
      </c>
      <c r="I127" s="5" t="s">
        <v>304</v>
      </c>
      <c r="J127" t="s">
        <v>305</v>
      </c>
      <c r="K127" s="6">
        <v>45147</v>
      </c>
      <c r="L127" s="23">
        <v>0.66666666666666696</v>
      </c>
      <c r="M127" s="5">
        <v>119588</v>
      </c>
      <c r="N127" s="5" t="s">
        <v>55</v>
      </c>
      <c r="O127" s="8" t="s">
        <v>56</v>
      </c>
      <c r="Q127" t="s">
        <v>412</v>
      </c>
      <c r="R127" s="5" t="s">
        <v>94</v>
      </c>
      <c r="S127" s="9">
        <v>10</v>
      </c>
      <c r="T127" s="9">
        <v>5</v>
      </c>
      <c r="U127" s="9">
        <v>5</v>
      </c>
      <c r="V127" s="10">
        <f>Table1[[#This Row],[MARGIN '[€']]]/Table1[[#This Row],[SALES '[€']]]</f>
        <v>0.5</v>
      </c>
      <c r="W127" s="5">
        <v>9215166469</v>
      </c>
      <c r="X127" s="5" t="s">
        <v>413</v>
      </c>
      <c r="Y127" s="4">
        <v>621</v>
      </c>
      <c r="AA127" t="s">
        <v>60</v>
      </c>
      <c r="AL127" t="s">
        <v>61</v>
      </c>
    </row>
    <row r="128" spans="1:40" x14ac:dyDescent="0.25">
      <c r="A128" s="4">
        <v>32</v>
      </c>
      <c r="B128" t="s">
        <v>48</v>
      </c>
      <c r="C128" t="s">
        <v>49</v>
      </c>
      <c r="D128" s="5" t="s">
        <v>50</v>
      </c>
      <c r="E128" t="s">
        <v>51</v>
      </c>
      <c r="F128" s="6">
        <v>45146</v>
      </c>
      <c r="G128" s="7">
        <v>4.1666666666666699E-2</v>
      </c>
      <c r="H128" t="s">
        <v>90</v>
      </c>
      <c r="I128" s="5">
        <v>24</v>
      </c>
      <c r="J128" t="s">
        <v>92</v>
      </c>
      <c r="K128" s="6">
        <v>45146</v>
      </c>
      <c r="L128" s="23">
        <v>0.49652777777777801</v>
      </c>
      <c r="M128" s="5">
        <v>119635</v>
      </c>
      <c r="N128" s="5" t="s">
        <v>69</v>
      </c>
      <c r="O128" s="8" t="s">
        <v>56</v>
      </c>
      <c r="Q128" t="s">
        <v>414</v>
      </c>
      <c r="R128" s="5" t="s">
        <v>94</v>
      </c>
      <c r="S128" s="9">
        <v>10</v>
      </c>
      <c r="T128" s="9">
        <v>5</v>
      </c>
      <c r="U128" s="9">
        <v>5</v>
      </c>
      <c r="V128" s="10">
        <f>Table1[[#This Row],[MARGIN '[€']]]/Table1[[#This Row],[SALES '[€']]]</f>
        <v>0.5</v>
      </c>
      <c r="W128" s="5">
        <v>9215166462</v>
      </c>
      <c r="X128" s="5" t="s">
        <v>415</v>
      </c>
      <c r="Y128" s="4">
        <v>441</v>
      </c>
      <c r="Z128" t="s">
        <v>416</v>
      </c>
      <c r="AA128" t="s">
        <v>60</v>
      </c>
      <c r="AL128" t="s">
        <v>61</v>
      </c>
    </row>
    <row r="129" spans="1:38" x14ac:dyDescent="0.25">
      <c r="A129" s="4">
        <v>32</v>
      </c>
      <c r="B129" t="s">
        <v>48</v>
      </c>
      <c r="C129" t="s">
        <v>49</v>
      </c>
      <c r="D129" s="5" t="s">
        <v>50</v>
      </c>
      <c r="E129" t="s">
        <v>51</v>
      </c>
      <c r="F129" s="6">
        <v>45146</v>
      </c>
      <c r="G129" s="7">
        <v>0.31944444444444398</v>
      </c>
      <c r="H129" t="s">
        <v>90</v>
      </c>
      <c r="I129" s="5">
        <v>24</v>
      </c>
      <c r="J129" t="s">
        <v>92</v>
      </c>
      <c r="K129" s="6">
        <v>45146</v>
      </c>
      <c r="L129" s="23">
        <v>0.68055555555555503</v>
      </c>
      <c r="M129" s="5">
        <v>119638</v>
      </c>
      <c r="N129" s="5" t="s">
        <v>69</v>
      </c>
      <c r="O129" s="8" t="s">
        <v>56</v>
      </c>
      <c r="Q129" t="s">
        <v>323</v>
      </c>
      <c r="R129" s="5" t="s">
        <v>98</v>
      </c>
      <c r="S129" s="9">
        <v>10</v>
      </c>
      <c r="T129" s="9">
        <v>5</v>
      </c>
      <c r="U129" s="9">
        <v>5</v>
      </c>
      <c r="V129" s="10">
        <f>Table1[[#This Row],[MARGIN '[€']]]/Table1[[#This Row],[SALES '[€']]]</f>
        <v>0.5</v>
      </c>
      <c r="W129" s="5">
        <v>9215166464</v>
      </c>
      <c r="X129" s="5" t="s">
        <v>417</v>
      </c>
      <c r="Y129" s="4">
        <v>441</v>
      </c>
      <c r="Z129" t="s">
        <v>418</v>
      </c>
      <c r="AA129" t="s">
        <v>60</v>
      </c>
      <c r="AL129" t="s">
        <v>61</v>
      </c>
    </row>
    <row r="130" spans="1:38" x14ac:dyDescent="0.25">
      <c r="A130" s="4">
        <v>32</v>
      </c>
      <c r="B130" t="s">
        <v>48</v>
      </c>
      <c r="C130" t="s">
        <v>49</v>
      </c>
      <c r="D130" s="5" t="s">
        <v>50</v>
      </c>
      <c r="E130" t="s">
        <v>51</v>
      </c>
      <c r="F130" s="6">
        <v>45146</v>
      </c>
      <c r="H130" t="s">
        <v>90</v>
      </c>
      <c r="I130" s="5">
        <v>24</v>
      </c>
      <c r="J130" t="s">
        <v>92</v>
      </c>
      <c r="K130" s="6">
        <v>45147</v>
      </c>
      <c r="L130" s="23" t="s">
        <v>210</v>
      </c>
      <c r="M130" s="5">
        <v>119641</v>
      </c>
      <c r="N130" s="5" t="s">
        <v>69</v>
      </c>
      <c r="O130" s="8" t="s">
        <v>56</v>
      </c>
      <c r="R130" s="5" t="s">
        <v>94</v>
      </c>
      <c r="S130" s="9">
        <v>10</v>
      </c>
      <c r="T130" s="9">
        <v>5</v>
      </c>
      <c r="U130" s="9">
        <v>5</v>
      </c>
      <c r="V130" s="10">
        <f>Table1[[#This Row],[MARGIN '[€']]]/Table1[[#This Row],[SALES '[€']]]</f>
        <v>0.5</v>
      </c>
      <c r="W130" s="5">
        <v>9215166426</v>
      </c>
      <c r="X130" s="5" t="s">
        <v>419</v>
      </c>
      <c r="Y130" s="4">
        <v>441</v>
      </c>
      <c r="Z130" t="s">
        <v>420</v>
      </c>
      <c r="AA130" t="s">
        <v>60</v>
      </c>
      <c r="AL130" t="s">
        <v>214</v>
      </c>
    </row>
    <row r="131" spans="1:38" x14ac:dyDescent="0.25">
      <c r="A131" s="4">
        <v>32</v>
      </c>
      <c r="B131" t="s">
        <v>48</v>
      </c>
      <c r="C131" t="s">
        <v>49</v>
      </c>
      <c r="D131" s="5" t="s">
        <v>50</v>
      </c>
      <c r="E131" t="s">
        <v>51</v>
      </c>
      <c r="F131" s="6">
        <v>45146</v>
      </c>
      <c r="H131" t="s">
        <v>90</v>
      </c>
      <c r="I131" s="5">
        <v>24</v>
      </c>
      <c r="J131" t="s">
        <v>92</v>
      </c>
      <c r="K131" s="6">
        <v>45147</v>
      </c>
      <c r="L131" s="23" t="s">
        <v>210</v>
      </c>
      <c r="M131" s="5">
        <v>119642</v>
      </c>
      <c r="N131" s="5" t="s">
        <v>69</v>
      </c>
      <c r="O131" s="8" t="s">
        <v>56</v>
      </c>
      <c r="R131" s="5" t="s">
        <v>98</v>
      </c>
      <c r="S131" s="9">
        <v>10</v>
      </c>
      <c r="T131" s="9">
        <v>5</v>
      </c>
      <c r="U131" s="9">
        <v>5</v>
      </c>
      <c r="V131" s="10">
        <f>Table1[[#This Row],[MARGIN '[€']]]/Table1[[#This Row],[SALES '[€']]]</f>
        <v>0.5</v>
      </c>
      <c r="Y131" s="4">
        <v>441</v>
      </c>
      <c r="Z131" t="s">
        <v>421</v>
      </c>
      <c r="AA131" t="s">
        <v>60</v>
      </c>
      <c r="AL131" t="s">
        <v>214</v>
      </c>
    </row>
    <row r="132" spans="1:38" x14ac:dyDescent="0.25">
      <c r="A132" s="4">
        <v>32</v>
      </c>
      <c r="B132" t="s">
        <v>48</v>
      </c>
      <c r="C132" t="s">
        <v>49</v>
      </c>
      <c r="D132" s="5" t="s">
        <v>50</v>
      </c>
      <c r="E132" t="s">
        <v>51</v>
      </c>
      <c r="F132" s="6">
        <v>45146</v>
      </c>
      <c r="H132" t="s">
        <v>90</v>
      </c>
      <c r="I132" s="5">
        <v>24</v>
      </c>
      <c r="J132" t="s">
        <v>92</v>
      </c>
      <c r="K132" s="6">
        <v>45147</v>
      </c>
      <c r="L132" s="23" t="s">
        <v>210</v>
      </c>
      <c r="M132" s="5">
        <v>119643</v>
      </c>
      <c r="N132" s="5" t="s">
        <v>69</v>
      </c>
      <c r="O132" s="8" t="s">
        <v>56</v>
      </c>
      <c r="R132" s="5" t="s">
        <v>94</v>
      </c>
      <c r="S132" s="9">
        <v>10</v>
      </c>
      <c r="T132" s="9">
        <v>5</v>
      </c>
      <c r="U132" s="9">
        <v>5</v>
      </c>
      <c r="V132" s="10">
        <f>Table1[[#This Row],[MARGIN '[€']]]/Table1[[#This Row],[SALES '[€']]]</f>
        <v>0.5</v>
      </c>
      <c r="Y132" s="4">
        <v>441</v>
      </c>
      <c r="Z132" t="s">
        <v>422</v>
      </c>
      <c r="AA132" t="s">
        <v>60</v>
      </c>
      <c r="AL132" t="s">
        <v>214</v>
      </c>
    </row>
    <row r="133" spans="1:38" x14ac:dyDescent="0.25">
      <c r="A133" s="4">
        <v>32</v>
      </c>
      <c r="B133" t="s">
        <v>48</v>
      </c>
      <c r="C133" t="s">
        <v>49</v>
      </c>
      <c r="D133" s="5" t="s">
        <v>50</v>
      </c>
      <c r="E133" t="s">
        <v>51</v>
      </c>
      <c r="F133" s="6">
        <v>45146</v>
      </c>
      <c r="H133" t="s">
        <v>90</v>
      </c>
      <c r="I133" s="5">
        <v>24</v>
      </c>
      <c r="J133" t="s">
        <v>92</v>
      </c>
      <c r="K133" s="6">
        <v>45147</v>
      </c>
      <c r="L133" s="23" t="s">
        <v>210</v>
      </c>
      <c r="M133" s="5">
        <v>119644</v>
      </c>
      <c r="N133" s="5" t="s">
        <v>69</v>
      </c>
      <c r="O133" s="8" t="s">
        <v>56</v>
      </c>
      <c r="R133" s="5" t="s">
        <v>98</v>
      </c>
      <c r="S133" s="9">
        <v>10</v>
      </c>
      <c r="T133" s="9">
        <v>5</v>
      </c>
      <c r="U133" s="9">
        <v>5</v>
      </c>
      <c r="V133" s="10">
        <f>Table1[[#This Row],[MARGIN '[€']]]/Table1[[#This Row],[SALES '[€']]]</f>
        <v>0.5</v>
      </c>
      <c r="Y133" s="4">
        <v>441</v>
      </c>
      <c r="Z133" t="s">
        <v>423</v>
      </c>
      <c r="AA133" t="s">
        <v>60</v>
      </c>
      <c r="AL133" t="s">
        <v>214</v>
      </c>
    </row>
    <row r="134" spans="1:38" x14ac:dyDescent="0.25">
      <c r="A134" s="4">
        <v>32</v>
      </c>
      <c r="B134" t="s">
        <v>48</v>
      </c>
      <c r="C134" t="s">
        <v>49</v>
      </c>
      <c r="D134" s="5" t="s">
        <v>50</v>
      </c>
      <c r="E134" t="s">
        <v>51</v>
      </c>
      <c r="F134" s="6">
        <v>45146</v>
      </c>
      <c r="G134" s="7">
        <v>0.29166666666666702</v>
      </c>
      <c r="H134" t="s">
        <v>90</v>
      </c>
      <c r="I134" s="5">
        <v>24</v>
      </c>
      <c r="J134" t="s">
        <v>92</v>
      </c>
      <c r="K134" s="6">
        <v>45147</v>
      </c>
      <c r="L134" s="23" t="s">
        <v>210</v>
      </c>
      <c r="M134" s="5">
        <v>119645</v>
      </c>
      <c r="N134" s="5" t="s">
        <v>69</v>
      </c>
      <c r="O134" s="8" t="s">
        <v>56</v>
      </c>
      <c r="R134" s="5" t="s">
        <v>207</v>
      </c>
      <c r="S134" s="9">
        <v>10</v>
      </c>
      <c r="T134" s="9">
        <v>5</v>
      </c>
      <c r="U134" s="9">
        <v>5</v>
      </c>
      <c r="V134" s="10">
        <f>Table1[[#This Row],[MARGIN '[€']]]/Table1[[#This Row],[SALES '[€']]]</f>
        <v>0.5</v>
      </c>
      <c r="Y134" s="4">
        <v>441</v>
      </c>
      <c r="Z134" t="s">
        <v>424</v>
      </c>
      <c r="AA134" t="s">
        <v>60</v>
      </c>
      <c r="AL134" t="s">
        <v>214</v>
      </c>
    </row>
    <row r="135" spans="1:38" x14ac:dyDescent="0.25">
      <c r="A135" s="4">
        <v>32</v>
      </c>
      <c r="B135" t="s">
        <v>48</v>
      </c>
      <c r="C135" t="s">
        <v>49</v>
      </c>
      <c r="D135" s="5" t="s">
        <v>50</v>
      </c>
      <c r="E135" t="s">
        <v>51</v>
      </c>
      <c r="F135" s="6">
        <v>45146</v>
      </c>
      <c r="G135" s="7">
        <v>0.40277777777777801</v>
      </c>
      <c r="H135" t="s">
        <v>90</v>
      </c>
      <c r="I135" s="5">
        <v>24</v>
      </c>
      <c r="J135" t="s">
        <v>92</v>
      </c>
      <c r="K135" s="6">
        <v>45146</v>
      </c>
      <c r="L135" s="23">
        <v>0.74305555555555503</v>
      </c>
      <c r="M135" s="5">
        <v>119649</v>
      </c>
      <c r="N135" s="5" t="s">
        <v>69</v>
      </c>
      <c r="O135" s="8" t="s">
        <v>56</v>
      </c>
      <c r="Q135" t="s">
        <v>425</v>
      </c>
      <c r="R135" s="5" t="s">
        <v>98</v>
      </c>
      <c r="S135" s="9">
        <v>10</v>
      </c>
      <c r="T135" s="9">
        <v>5</v>
      </c>
      <c r="U135" s="9">
        <v>5</v>
      </c>
      <c r="V135" s="10">
        <f>Table1[[#This Row],[MARGIN '[€']]]/Table1[[#This Row],[SALES '[€']]]</f>
        <v>0.5</v>
      </c>
      <c r="W135" s="5">
        <v>9215166420</v>
      </c>
      <c r="X135" s="5" t="s">
        <v>426</v>
      </c>
      <c r="Y135" s="4">
        <v>441</v>
      </c>
      <c r="Z135" t="s">
        <v>427</v>
      </c>
      <c r="AA135" t="s">
        <v>60</v>
      </c>
      <c r="AL135" t="s">
        <v>61</v>
      </c>
    </row>
    <row r="136" spans="1:38" x14ac:dyDescent="0.25">
      <c r="A136" s="4">
        <v>32</v>
      </c>
      <c r="B136" t="s">
        <v>48</v>
      </c>
      <c r="C136" t="s">
        <v>49</v>
      </c>
      <c r="D136" s="5" t="s">
        <v>50</v>
      </c>
      <c r="E136" t="s">
        <v>51</v>
      </c>
      <c r="F136" s="6">
        <v>45146</v>
      </c>
      <c r="G136" s="7">
        <v>0.79166666666666696</v>
      </c>
      <c r="H136" t="s">
        <v>90</v>
      </c>
      <c r="I136" s="5">
        <v>24</v>
      </c>
      <c r="J136" t="s">
        <v>92</v>
      </c>
      <c r="K136" s="6">
        <v>45147</v>
      </c>
      <c r="L136" s="23">
        <v>0.49652777777777801</v>
      </c>
      <c r="M136" s="5">
        <v>119650</v>
      </c>
      <c r="N136" s="5" t="s">
        <v>69</v>
      </c>
      <c r="O136" s="8" t="s">
        <v>56</v>
      </c>
      <c r="Q136" t="s">
        <v>428</v>
      </c>
      <c r="R136" s="5" t="s">
        <v>207</v>
      </c>
      <c r="S136" s="9">
        <v>10</v>
      </c>
      <c r="T136" s="9">
        <v>5</v>
      </c>
      <c r="U136" s="9">
        <v>5</v>
      </c>
      <c r="V136" s="10">
        <f>Table1[[#This Row],[MARGIN '[€']]]/Table1[[#This Row],[SALES '[€']]]</f>
        <v>0.5</v>
      </c>
      <c r="W136" s="5">
        <v>9215166475</v>
      </c>
      <c r="X136" s="5" t="s">
        <v>429</v>
      </c>
      <c r="Y136" s="4">
        <v>441</v>
      </c>
      <c r="Z136" t="s">
        <v>430</v>
      </c>
      <c r="AA136" t="s">
        <v>60</v>
      </c>
      <c r="AL136" t="s">
        <v>61</v>
      </c>
    </row>
    <row r="137" spans="1:38" x14ac:dyDescent="0.25">
      <c r="A137" s="4">
        <v>32</v>
      </c>
      <c r="B137" t="s">
        <v>48</v>
      </c>
      <c r="C137" t="s">
        <v>49</v>
      </c>
      <c r="D137" s="5" t="s">
        <v>50</v>
      </c>
      <c r="E137" t="s">
        <v>51</v>
      </c>
      <c r="F137" s="6">
        <v>45146</v>
      </c>
      <c r="G137" s="7">
        <v>0.14583333333333301</v>
      </c>
      <c r="H137" t="s">
        <v>49</v>
      </c>
      <c r="I137" s="5">
        <v>94</v>
      </c>
      <c r="J137" t="s">
        <v>110</v>
      </c>
      <c r="K137" s="6">
        <v>45147</v>
      </c>
      <c r="L137" s="23">
        <v>0.47916666666666702</v>
      </c>
      <c r="M137" s="5">
        <v>119693</v>
      </c>
      <c r="N137" s="5" t="s">
        <v>69</v>
      </c>
      <c r="O137" s="8" t="s">
        <v>56</v>
      </c>
      <c r="P137" t="s">
        <v>76</v>
      </c>
      <c r="Q137" t="s">
        <v>111</v>
      </c>
      <c r="R137" s="5" t="s">
        <v>112</v>
      </c>
      <c r="S137" s="9">
        <v>10</v>
      </c>
      <c r="T137" s="9">
        <v>5</v>
      </c>
      <c r="U137" s="9">
        <v>5</v>
      </c>
      <c r="V137" s="10">
        <f>Table1[[#This Row],[MARGIN '[€']]]/Table1[[#This Row],[SALES '[€']]]</f>
        <v>0.5</v>
      </c>
      <c r="W137" s="5">
        <v>9215166466</v>
      </c>
      <c r="X137" s="5" t="s">
        <v>431</v>
      </c>
      <c r="Y137" s="4">
        <v>345</v>
      </c>
      <c r="AA137" t="s">
        <v>89</v>
      </c>
      <c r="AL137" t="s">
        <v>61</v>
      </c>
    </row>
    <row r="138" spans="1:38" x14ac:dyDescent="0.25">
      <c r="A138" s="4">
        <v>32</v>
      </c>
      <c r="B138" t="s">
        <v>48</v>
      </c>
      <c r="C138" t="s">
        <v>49</v>
      </c>
      <c r="D138" s="5" t="s">
        <v>50</v>
      </c>
      <c r="E138" t="s">
        <v>51</v>
      </c>
      <c r="F138" s="6">
        <v>45146</v>
      </c>
      <c r="G138" s="7">
        <v>0.52083333333333304</v>
      </c>
      <c r="H138" t="s">
        <v>49</v>
      </c>
      <c r="I138" s="5">
        <v>94</v>
      </c>
      <c r="J138" t="s">
        <v>110</v>
      </c>
      <c r="K138" s="6">
        <v>45147</v>
      </c>
      <c r="L138" s="23">
        <v>0.5</v>
      </c>
      <c r="M138" s="5">
        <v>119694</v>
      </c>
      <c r="N138" s="5" t="s">
        <v>69</v>
      </c>
      <c r="O138" s="8" t="s">
        <v>56</v>
      </c>
      <c r="Q138" t="s">
        <v>265</v>
      </c>
      <c r="R138" s="5" t="s">
        <v>266</v>
      </c>
      <c r="S138" s="9">
        <v>10</v>
      </c>
      <c r="T138" s="9">
        <v>5</v>
      </c>
      <c r="U138" s="9">
        <v>5</v>
      </c>
      <c r="V138" s="10">
        <f>Table1[[#This Row],[MARGIN '[€']]]/Table1[[#This Row],[SALES '[€']]]</f>
        <v>0.5</v>
      </c>
      <c r="W138" s="5">
        <v>9215166471</v>
      </c>
      <c r="X138" s="5" t="s">
        <v>432</v>
      </c>
      <c r="Y138" s="4">
        <v>345</v>
      </c>
      <c r="AA138" t="s">
        <v>89</v>
      </c>
      <c r="AL138" t="s">
        <v>61</v>
      </c>
    </row>
    <row r="139" spans="1:38" x14ac:dyDescent="0.25">
      <c r="A139" s="4">
        <v>32</v>
      </c>
      <c r="B139" t="s">
        <v>48</v>
      </c>
      <c r="C139" t="s">
        <v>49</v>
      </c>
      <c r="D139" s="5" t="s">
        <v>50</v>
      </c>
      <c r="E139" t="s">
        <v>51</v>
      </c>
      <c r="F139" s="6">
        <v>45146</v>
      </c>
      <c r="G139" s="7">
        <v>0.47222222222222199</v>
      </c>
      <c r="H139" t="s">
        <v>49</v>
      </c>
      <c r="I139" s="5">
        <v>94</v>
      </c>
      <c r="J139" t="s">
        <v>110</v>
      </c>
      <c r="K139" s="6">
        <v>45147</v>
      </c>
      <c r="L139" s="23">
        <v>0.54166666666666696</v>
      </c>
      <c r="M139" s="5">
        <v>119695</v>
      </c>
      <c r="N139" s="5" t="s">
        <v>69</v>
      </c>
      <c r="O139" s="8" t="s">
        <v>56</v>
      </c>
      <c r="Q139" t="s">
        <v>369</v>
      </c>
      <c r="R139" s="5" t="s">
        <v>317</v>
      </c>
      <c r="S139" s="9">
        <v>10</v>
      </c>
      <c r="T139" s="9">
        <v>5</v>
      </c>
      <c r="U139" s="9">
        <v>5</v>
      </c>
      <c r="V139" s="10">
        <f>Table1[[#This Row],[MARGIN '[€']]]/Table1[[#This Row],[SALES '[€']]]</f>
        <v>0.5</v>
      </c>
      <c r="W139" s="5">
        <v>9215166472</v>
      </c>
      <c r="X139" s="5" t="s">
        <v>433</v>
      </c>
      <c r="Y139" s="4">
        <v>345</v>
      </c>
      <c r="AA139" t="s">
        <v>89</v>
      </c>
      <c r="AL139" t="s">
        <v>61</v>
      </c>
    </row>
    <row r="140" spans="1:38" x14ac:dyDescent="0.25">
      <c r="A140" s="4">
        <v>32</v>
      </c>
      <c r="B140" t="s">
        <v>48</v>
      </c>
      <c r="C140" t="s">
        <v>49</v>
      </c>
      <c r="D140" s="5" t="s">
        <v>50</v>
      </c>
      <c r="E140" t="s">
        <v>51</v>
      </c>
      <c r="F140" s="6">
        <v>45146</v>
      </c>
      <c r="G140" s="7">
        <v>0.58333333333333304</v>
      </c>
      <c r="H140" t="s">
        <v>49</v>
      </c>
      <c r="I140" s="5">
        <v>94</v>
      </c>
      <c r="J140" t="s">
        <v>110</v>
      </c>
      <c r="K140" s="6">
        <v>45147</v>
      </c>
      <c r="L140" s="23">
        <v>0.5625</v>
      </c>
      <c r="M140" s="5">
        <v>119696</v>
      </c>
      <c r="N140" s="5" t="s">
        <v>69</v>
      </c>
      <c r="O140" s="8" t="s">
        <v>56</v>
      </c>
      <c r="Q140" t="s">
        <v>434</v>
      </c>
      <c r="R140" s="5" t="s">
        <v>356</v>
      </c>
      <c r="S140" s="9">
        <v>10</v>
      </c>
      <c r="T140" s="9">
        <v>5</v>
      </c>
      <c r="U140" s="9">
        <v>5</v>
      </c>
      <c r="V140" s="10">
        <f>Table1[[#This Row],[MARGIN '[€']]]/Table1[[#This Row],[SALES '[€']]]</f>
        <v>0.5</v>
      </c>
      <c r="W140" s="5">
        <v>9215166473</v>
      </c>
      <c r="X140" s="5" t="s">
        <v>435</v>
      </c>
      <c r="Y140" s="4">
        <v>345</v>
      </c>
      <c r="AA140" t="s">
        <v>89</v>
      </c>
      <c r="AL140" t="s">
        <v>61</v>
      </c>
    </row>
    <row r="141" spans="1:38" x14ac:dyDescent="0.25">
      <c r="A141" s="4">
        <v>32</v>
      </c>
      <c r="B141" t="s">
        <v>137</v>
      </c>
      <c r="C141" t="s">
        <v>49</v>
      </c>
      <c r="D141" s="5" t="s">
        <v>50</v>
      </c>
      <c r="E141" t="s">
        <v>51</v>
      </c>
      <c r="F141" s="6">
        <v>45146</v>
      </c>
      <c r="G141" s="7">
        <v>0.68055555555555503</v>
      </c>
      <c r="H141" t="s">
        <v>49</v>
      </c>
      <c r="I141" s="5" t="s">
        <v>102</v>
      </c>
      <c r="J141" t="s">
        <v>103</v>
      </c>
      <c r="K141" s="6">
        <v>45146</v>
      </c>
      <c r="L141" s="23">
        <v>0.72916666666666696</v>
      </c>
      <c r="M141" s="5" t="s">
        <v>436</v>
      </c>
      <c r="N141" s="5" t="s">
        <v>69</v>
      </c>
      <c r="O141" s="8" t="s">
        <v>56</v>
      </c>
      <c r="Q141" t="s">
        <v>117</v>
      </c>
      <c r="R141" s="5" t="s">
        <v>118</v>
      </c>
      <c r="S141" s="9">
        <v>10</v>
      </c>
      <c r="T141" s="9">
        <v>5</v>
      </c>
      <c r="U141" s="9">
        <v>5</v>
      </c>
      <c r="V141" s="10">
        <f>Table1[[#This Row],[MARGIN '[€']]]/Table1[[#This Row],[SALES '[€']]]</f>
        <v>0.5</v>
      </c>
      <c r="W141" s="5">
        <v>9215166481</v>
      </c>
      <c r="X141" s="5" t="s">
        <v>437</v>
      </c>
      <c r="Y141" s="4">
        <v>57</v>
      </c>
      <c r="AA141" t="s">
        <v>89</v>
      </c>
      <c r="AL141" t="s">
        <v>61</v>
      </c>
    </row>
    <row r="142" spans="1:38" x14ac:dyDescent="0.25">
      <c r="A142" s="4">
        <v>32</v>
      </c>
      <c r="B142" t="s">
        <v>137</v>
      </c>
      <c r="C142" t="s">
        <v>49</v>
      </c>
      <c r="D142" s="5" t="s">
        <v>50</v>
      </c>
      <c r="E142" t="s">
        <v>51</v>
      </c>
      <c r="F142" s="6">
        <v>45146</v>
      </c>
      <c r="G142" s="7">
        <v>0.81944444444444398</v>
      </c>
      <c r="H142" t="s">
        <v>49</v>
      </c>
      <c r="I142" s="5" t="s">
        <v>102</v>
      </c>
      <c r="J142" t="s">
        <v>103</v>
      </c>
      <c r="K142" s="6">
        <v>45146</v>
      </c>
      <c r="L142" s="23">
        <v>0.875</v>
      </c>
      <c r="M142" s="5" t="s">
        <v>438</v>
      </c>
      <c r="N142" s="5" t="s">
        <v>69</v>
      </c>
      <c r="O142" s="8" t="s">
        <v>56</v>
      </c>
      <c r="Q142" t="s">
        <v>117</v>
      </c>
      <c r="R142" s="5" t="s">
        <v>118</v>
      </c>
      <c r="S142" s="9">
        <v>10</v>
      </c>
      <c r="T142" s="9">
        <v>5</v>
      </c>
      <c r="U142" s="9">
        <v>5</v>
      </c>
      <c r="V142" s="10">
        <f>Table1[[#This Row],[MARGIN '[€']]]/Table1[[#This Row],[SALES '[€']]]</f>
        <v>0.5</v>
      </c>
      <c r="W142" s="5">
        <v>9215166482</v>
      </c>
      <c r="X142" s="5" t="s">
        <v>437</v>
      </c>
      <c r="Y142" s="4">
        <v>57</v>
      </c>
      <c r="AA142" t="s">
        <v>89</v>
      </c>
      <c r="AL142" t="s">
        <v>61</v>
      </c>
    </row>
    <row r="143" spans="1:38" x14ac:dyDescent="0.25">
      <c r="A143" s="4">
        <v>32</v>
      </c>
      <c r="B143" t="s">
        <v>137</v>
      </c>
      <c r="C143" t="s">
        <v>49</v>
      </c>
      <c r="D143" s="5" t="s">
        <v>50</v>
      </c>
      <c r="E143" t="s">
        <v>51</v>
      </c>
      <c r="F143" s="6">
        <v>45146</v>
      </c>
      <c r="G143" s="7">
        <v>0.30555555555555503</v>
      </c>
      <c r="H143" t="s">
        <v>49</v>
      </c>
      <c r="I143" s="5" t="s">
        <v>102</v>
      </c>
      <c r="J143" t="s">
        <v>103</v>
      </c>
      <c r="K143" s="6">
        <v>45146</v>
      </c>
      <c r="L143" s="23">
        <v>0.375</v>
      </c>
      <c r="M143" s="5" t="s">
        <v>439</v>
      </c>
      <c r="N143" s="5" t="s">
        <v>69</v>
      </c>
      <c r="O143" s="8" t="s">
        <v>56</v>
      </c>
      <c r="Q143" t="s">
        <v>440</v>
      </c>
      <c r="R143" s="5" t="s">
        <v>312</v>
      </c>
      <c r="S143" s="9">
        <v>10</v>
      </c>
      <c r="T143" s="9">
        <v>5</v>
      </c>
      <c r="U143" s="9">
        <v>5</v>
      </c>
      <c r="V143" s="10">
        <f>Table1[[#This Row],[MARGIN '[€']]]/Table1[[#This Row],[SALES '[€']]]</f>
        <v>0.5</v>
      </c>
      <c r="W143" s="5">
        <v>9215166483</v>
      </c>
      <c r="X143" s="5" t="s">
        <v>441</v>
      </c>
      <c r="Y143" s="4">
        <v>57</v>
      </c>
      <c r="AA143" t="s">
        <v>89</v>
      </c>
      <c r="AL143" t="s">
        <v>61</v>
      </c>
    </row>
    <row r="144" spans="1:38" x14ac:dyDescent="0.25">
      <c r="A144" s="4">
        <v>32</v>
      </c>
      <c r="B144" t="s">
        <v>137</v>
      </c>
      <c r="C144" t="s">
        <v>49</v>
      </c>
      <c r="D144" s="5" t="s">
        <v>50</v>
      </c>
      <c r="E144" t="s">
        <v>51</v>
      </c>
      <c r="F144" s="6">
        <v>45146</v>
      </c>
      <c r="G144" s="7">
        <v>0.47222222222222199</v>
      </c>
      <c r="H144" t="s">
        <v>49</v>
      </c>
      <c r="I144" s="5" t="s">
        <v>102</v>
      </c>
      <c r="J144" t="s">
        <v>103</v>
      </c>
      <c r="K144" s="6">
        <v>45146</v>
      </c>
      <c r="L144" s="23">
        <v>0.54166666666666696</v>
      </c>
      <c r="M144" s="5" t="s">
        <v>442</v>
      </c>
      <c r="N144" s="5" t="s">
        <v>69</v>
      </c>
      <c r="O144" s="8" t="s">
        <v>56</v>
      </c>
      <c r="Q144" t="s">
        <v>440</v>
      </c>
      <c r="R144" s="5" t="s">
        <v>312</v>
      </c>
      <c r="S144" s="9">
        <v>10</v>
      </c>
      <c r="T144" s="9">
        <v>5</v>
      </c>
      <c r="U144" s="9">
        <v>5</v>
      </c>
      <c r="V144" s="10">
        <f>Table1[[#This Row],[MARGIN '[€']]]/Table1[[#This Row],[SALES '[€']]]</f>
        <v>0.5</v>
      </c>
      <c r="W144" s="5">
        <v>9215166484</v>
      </c>
      <c r="X144" s="5" t="s">
        <v>441</v>
      </c>
      <c r="Y144" s="4">
        <v>57</v>
      </c>
      <c r="AA144" t="s">
        <v>89</v>
      </c>
      <c r="AL144" t="s">
        <v>61</v>
      </c>
    </row>
    <row r="145" spans="1:38" x14ac:dyDescent="0.25">
      <c r="A145" s="4">
        <v>32</v>
      </c>
      <c r="B145" t="s">
        <v>137</v>
      </c>
      <c r="C145" t="s">
        <v>49</v>
      </c>
      <c r="D145" s="5" t="s">
        <v>50</v>
      </c>
      <c r="E145" t="s">
        <v>51</v>
      </c>
      <c r="F145" s="6">
        <v>45146</v>
      </c>
      <c r="G145" s="7">
        <v>0.60416666666666696</v>
      </c>
      <c r="H145" t="s">
        <v>49</v>
      </c>
      <c r="I145" s="5" t="s">
        <v>102</v>
      </c>
      <c r="J145" t="s">
        <v>103</v>
      </c>
      <c r="K145" s="6">
        <v>45146</v>
      </c>
      <c r="L145" s="23">
        <v>0.70833333333333304</v>
      </c>
      <c r="M145" s="5" t="s">
        <v>443</v>
      </c>
      <c r="N145" s="5" t="s">
        <v>69</v>
      </c>
      <c r="O145" s="8" t="s">
        <v>56</v>
      </c>
      <c r="Q145" t="s">
        <v>440</v>
      </c>
      <c r="R145" s="5" t="s">
        <v>312</v>
      </c>
      <c r="S145" s="9">
        <v>10</v>
      </c>
      <c r="T145" s="9">
        <v>5</v>
      </c>
      <c r="U145" s="9">
        <v>5</v>
      </c>
      <c r="V145" s="10">
        <f>Table1[[#This Row],[MARGIN '[€']]]/Table1[[#This Row],[SALES '[€']]]</f>
        <v>0.5</v>
      </c>
      <c r="W145" s="5">
        <v>9215166485</v>
      </c>
      <c r="X145" s="5" t="s">
        <v>441</v>
      </c>
      <c r="Y145" s="4">
        <v>57</v>
      </c>
      <c r="AA145" t="s">
        <v>89</v>
      </c>
      <c r="AL145" t="s">
        <v>61</v>
      </c>
    </row>
    <row r="146" spans="1:38" x14ac:dyDescent="0.25">
      <c r="A146" s="4">
        <v>32</v>
      </c>
      <c r="B146" t="s">
        <v>48</v>
      </c>
      <c r="C146" t="s">
        <v>49</v>
      </c>
      <c r="D146" s="5" t="s">
        <v>50</v>
      </c>
      <c r="E146" t="s">
        <v>51</v>
      </c>
      <c r="F146" s="6">
        <v>45147</v>
      </c>
      <c r="G146" s="7">
        <v>0.16666666666666699</v>
      </c>
      <c r="H146" t="s">
        <v>52</v>
      </c>
      <c r="I146" s="5" t="s">
        <v>53</v>
      </c>
      <c r="J146" t="s">
        <v>54</v>
      </c>
      <c r="K146" s="6">
        <v>45147</v>
      </c>
      <c r="L146" s="23">
        <v>0.75</v>
      </c>
      <c r="M146" s="5">
        <v>119669</v>
      </c>
      <c r="N146" s="5" t="s">
        <v>55</v>
      </c>
      <c r="O146" s="8" t="s">
        <v>56</v>
      </c>
      <c r="Q146" t="s">
        <v>62</v>
      </c>
      <c r="R146" s="5" t="s">
        <v>58</v>
      </c>
      <c r="S146" s="9">
        <v>10</v>
      </c>
      <c r="T146" s="9">
        <v>5</v>
      </c>
      <c r="U146" s="9">
        <v>5</v>
      </c>
      <c r="V146" s="10">
        <f>Table1[[#This Row],[MARGIN '[€']]]/Table1[[#This Row],[SALES '[€']]]</f>
        <v>0.5</v>
      </c>
      <c r="W146" s="5">
        <v>9215166501</v>
      </c>
      <c r="X146" s="5" t="s">
        <v>444</v>
      </c>
      <c r="Y146" s="4">
        <v>82</v>
      </c>
      <c r="AA146" t="s">
        <v>89</v>
      </c>
      <c r="AL146" t="s">
        <v>61</v>
      </c>
    </row>
    <row r="147" spans="1:38" x14ac:dyDescent="0.25">
      <c r="A147" s="4">
        <v>32</v>
      </c>
      <c r="B147" t="s">
        <v>48</v>
      </c>
      <c r="C147" t="s">
        <v>49</v>
      </c>
      <c r="D147" s="5" t="s">
        <v>50</v>
      </c>
      <c r="E147" t="s">
        <v>51</v>
      </c>
      <c r="F147" s="6">
        <v>45147</v>
      </c>
      <c r="G147" s="7">
        <v>0.1875</v>
      </c>
      <c r="H147" t="s">
        <v>52</v>
      </c>
      <c r="I147" s="5" t="s">
        <v>53</v>
      </c>
      <c r="J147" t="s">
        <v>54</v>
      </c>
      <c r="K147" s="6">
        <v>45147</v>
      </c>
      <c r="L147" s="23">
        <v>0.75</v>
      </c>
      <c r="M147" s="5">
        <v>119670</v>
      </c>
      <c r="N147" s="5" t="s">
        <v>55</v>
      </c>
      <c r="O147" s="8" t="s">
        <v>56</v>
      </c>
      <c r="Q147" t="s">
        <v>57</v>
      </c>
      <c r="R147" s="5" t="s">
        <v>58</v>
      </c>
      <c r="S147" s="9">
        <v>10</v>
      </c>
      <c r="T147" s="9">
        <v>5</v>
      </c>
      <c r="U147" s="9">
        <v>5</v>
      </c>
      <c r="V147" s="10">
        <f>Table1[[#This Row],[MARGIN '[€']]]/Table1[[#This Row],[SALES '[€']]]</f>
        <v>0.5</v>
      </c>
      <c r="W147" s="5">
        <v>9215166504</v>
      </c>
      <c r="X147" s="5" t="s">
        <v>445</v>
      </c>
      <c r="Y147" s="4">
        <v>82</v>
      </c>
      <c r="AA147" t="s">
        <v>89</v>
      </c>
      <c r="AL147" t="s">
        <v>61</v>
      </c>
    </row>
    <row r="148" spans="1:38" x14ac:dyDescent="0.25">
      <c r="A148" s="4">
        <v>32</v>
      </c>
      <c r="B148" t="s">
        <v>48</v>
      </c>
      <c r="C148" t="s">
        <v>49</v>
      </c>
      <c r="D148" s="5" t="s">
        <v>50</v>
      </c>
      <c r="E148" t="s">
        <v>51</v>
      </c>
      <c r="F148" s="6">
        <v>45147</v>
      </c>
      <c r="G148" s="7">
        <v>0.20833333333333301</v>
      </c>
      <c r="H148" t="s">
        <v>52</v>
      </c>
      <c r="I148" s="5" t="s">
        <v>53</v>
      </c>
      <c r="J148" t="s">
        <v>54</v>
      </c>
      <c r="K148" s="6">
        <v>45147</v>
      </c>
      <c r="L148" s="23">
        <v>0.75</v>
      </c>
      <c r="M148" s="5">
        <v>119671</v>
      </c>
      <c r="N148" s="5" t="s">
        <v>55</v>
      </c>
      <c r="O148" s="8" t="s">
        <v>56</v>
      </c>
      <c r="Q148" t="s">
        <v>64</v>
      </c>
      <c r="R148" s="5" t="s">
        <v>58</v>
      </c>
      <c r="S148" s="9">
        <v>10</v>
      </c>
      <c r="T148" s="9">
        <v>5</v>
      </c>
      <c r="U148" s="9">
        <v>5</v>
      </c>
      <c r="V148" s="10">
        <f>Table1[[#This Row],[MARGIN '[€']]]/Table1[[#This Row],[SALES '[€']]]</f>
        <v>0.5</v>
      </c>
      <c r="W148" s="5">
        <v>9215166506</v>
      </c>
      <c r="X148" s="5" t="s">
        <v>446</v>
      </c>
      <c r="Y148" s="4">
        <v>82</v>
      </c>
      <c r="AA148" t="s">
        <v>89</v>
      </c>
      <c r="AL148" t="s">
        <v>61</v>
      </c>
    </row>
    <row r="149" spans="1:38" x14ac:dyDescent="0.25">
      <c r="A149" s="4">
        <v>32</v>
      </c>
      <c r="B149" t="s">
        <v>48</v>
      </c>
      <c r="C149" t="s">
        <v>49</v>
      </c>
      <c r="D149" s="5" t="s">
        <v>50</v>
      </c>
      <c r="E149" t="s">
        <v>51</v>
      </c>
      <c r="F149" s="6">
        <v>45147</v>
      </c>
      <c r="G149" s="7">
        <v>0.33333333333333298</v>
      </c>
      <c r="H149" t="s">
        <v>52</v>
      </c>
      <c r="I149" s="5" t="s">
        <v>53</v>
      </c>
      <c r="J149" t="s">
        <v>54</v>
      </c>
      <c r="K149" s="6">
        <v>45147</v>
      </c>
      <c r="L149" s="23">
        <v>0.75</v>
      </c>
      <c r="M149" s="5">
        <v>119672</v>
      </c>
      <c r="N149" s="5" t="s">
        <v>55</v>
      </c>
      <c r="O149" s="8" t="s">
        <v>56</v>
      </c>
      <c r="Q149" t="s">
        <v>62</v>
      </c>
      <c r="R149" s="5" t="s">
        <v>58</v>
      </c>
      <c r="S149" s="9">
        <v>10</v>
      </c>
      <c r="T149" s="9">
        <v>5</v>
      </c>
      <c r="U149" s="9">
        <v>5</v>
      </c>
      <c r="V149" s="10">
        <f>Table1[[#This Row],[MARGIN '[€']]]/Table1[[#This Row],[SALES '[€']]]</f>
        <v>0.5</v>
      </c>
      <c r="W149" s="5">
        <v>9215166502</v>
      </c>
      <c r="X149" s="5" t="s">
        <v>444</v>
      </c>
      <c r="Y149" s="4">
        <v>82</v>
      </c>
      <c r="AA149" t="s">
        <v>89</v>
      </c>
      <c r="AL149" t="s">
        <v>61</v>
      </c>
    </row>
    <row r="150" spans="1:38" x14ac:dyDescent="0.25">
      <c r="A150" s="4">
        <v>32</v>
      </c>
      <c r="B150" t="s">
        <v>48</v>
      </c>
      <c r="C150" t="s">
        <v>49</v>
      </c>
      <c r="D150" s="5" t="s">
        <v>50</v>
      </c>
      <c r="E150" t="s">
        <v>51</v>
      </c>
      <c r="F150" s="6">
        <v>45147</v>
      </c>
      <c r="G150" s="7">
        <v>0.34722222222222199</v>
      </c>
      <c r="H150" t="s">
        <v>52</v>
      </c>
      <c r="I150" s="5" t="s">
        <v>53</v>
      </c>
      <c r="J150" t="s">
        <v>54</v>
      </c>
      <c r="K150" s="6">
        <v>45147</v>
      </c>
      <c r="L150" s="23">
        <v>0.75</v>
      </c>
      <c r="M150" s="5">
        <v>119673</v>
      </c>
      <c r="N150" s="5" t="s">
        <v>55</v>
      </c>
      <c r="O150" s="8" t="s">
        <v>56</v>
      </c>
      <c r="Q150" t="s">
        <v>57</v>
      </c>
      <c r="R150" s="5" t="s">
        <v>58</v>
      </c>
      <c r="S150" s="9">
        <v>10</v>
      </c>
      <c r="T150" s="9">
        <v>5</v>
      </c>
      <c r="U150" s="9">
        <v>5</v>
      </c>
      <c r="V150" s="10">
        <f>Table1[[#This Row],[MARGIN '[€']]]/Table1[[#This Row],[SALES '[€']]]</f>
        <v>0.5</v>
      </c>
      <c r="W150" s="5">
        <v>9215166505</v>
      </c>
      <c r="X150" s="5" t="s">
        <v>445</v>
      </c>
      <c r="Y150" s="4">
        <v>82</v>
      </c>
      <c r="AA150" t="s">
        <v>89</v>
      </c>
      <c r="AL150" t="s">
        <v>61</v>
      </c>
    </row>
    <row r="151" spans="1:38" x14ac:dyDescent="0.25">
      <c r="A151" s="4">
        <v>32</v>
      </c>
      <c r="B151" t="s">
        <v>48</v>
      </c>
      <c r="C151" t="s">
        <v>49</v>
      </c>
      <c r="D151" s="5" t="s">
        <v>50</v>
      </c>
      <c r="E151" t="s">
        <v>51</v>
      </c>
      <c r="F151" s="6">
        <v>45147</v>
      </c>
      <c r="G151" s="7">
        <v>0.36111111111111099</v>
      </c>
      <c r="H151" t="s">
        <v>52</v>
      </c>
      <c r="I151" s="5" t="s">
        <v>53</v>
      </c>
      <c r="J151" t="s">
        <v>54</v>
      </c>
      <c r="K151" s="6">
        <v>45147</v>
      </c>
      <c r="L151" s="23">
        <v>0.75</v>
      </c>
      <c r="M151" s="5">
        <v>119674</v>
      </c>
      <c r="N151" s="5" t="s">
        <v>55</v>
      </c>
      <c r="O151" s="8" t="s">
        <v>56</v>
      </c>
      <c r="Q151" t="s">
        <v>64</v>
      </c>
      <c r="R151" s="5" t="s">
        <v>58</v>
      </c>
      <c r="S151" s="9">
        <v>10</v>
      </c>
      <c r="T151" s="9">
        <v>5</v>
      </c>
      <c r="U151" s="9">
        <v>5</v>
      </c>
      <c r="V151" s="10">
        <f>Table1[[#This Row],[MARGIN '[€']]]/Table1[[#This Row],[SALES '[€']]]</f>
        <v>0.5</v>
      </c>
      <c r="W151" s="5">
        <v>9215166507</v>
      </c>
      <c r="X151" s="5" t="s">
        <v>446</v>
      </c>
      <c r="Y151" s="4">
        <v>82</v>
      </c>
      <c r="AA151" t="s">
        <v>89</v>
      </c>
      <c r="AL151" t="s">
        <v>61</v>
      </c>
    </row>
    <row r="152" spans="1:38" x14ac:dyDescent="0.25">
      <c r="A152" s="4">
        <v>32</v>
      </c>
      <c r="B152" t="s">
        <v>137</v>
      </c>
      <c r="C152" t="s">
        <v>49</v>
      </c>
      <c r="D152" s="5" t="s">
        <v>50</v>
      </c>
      <c r="E152" t="s">
        <v>51</v>
      </c>
      <c r="F152" s="6">
        <v>45147</v>
      </c>
      <c r="G152" s="7">
        <v>0.375</v>
      </c>
      <c r="H152" t="s">
        <v>138</v>
      </c>
      <c r="I152" s="5" t="s">
        <v>139</v>
      </c>
      <c r="J152" t="s">
        <v>140</v>
      </c>
      <c r="K152" s="6">
        <v>45149</v>
      </c>
      <c r="L152" s="23">
        <v>0.243055555555556</v>
      </c>
      <c r="M152" s="5" t="s">
        <v>447</v>
      </c>
      <c r="N152" s="5" t="s">
        <v>142</v>
      </c>
      <c r="O152" s="8" t="s">
        <v>56</v>
      </c>
      <c r="P152" t="s">
        <v>143</v>
      </c>
      <c r="Q152" t="s">
        <v>448</v>
      </c>
      <c r="R152" s="5" t="s">
        <v>145</v>
      </c>
      <c r="S152" s="9">
        <v>10</v>
      </c>
      <c r="T152" s="9">
        <v>5</v>
      </c>
      <c r="U152" s="9">
        <v>5</v>
      </c>
      <c r="V152" s="10">
        <f>Table1[[#This Row],[MARGIN '[€']]]/Table1[[#This Row],[SALES '[€']]]</f>
        <v>0.5</v>
      </c>
      <c r="W152" s="5">
        <v>9215166491</v>
      </c>
      <c r="X152" s="5" t="s">
        <v>449</v>
      </c>
      <c r="Y152" s="4">
        <v>1360</v>
      </c>
      <c r="AA152" t="s">
        <v>60</v>
      </c>
      <c r="AL152" t="s">
        <v>61</v>
      </c>
    </row>
    <row r="153" spans="1:38" x14ac:dyDescent="0.25">
      <c r="A153" s="4">
        <v>32</v>
      </c>
      <c r="B153" t="s">
        <v>234</v>
      </c>
      <c r="C153" t="s">
        <v>49</v>
      </c>
      <c r="D153" s="5" t="s">
        <v>50</v>
      </c>
      <c r="E153" t="s">
        <v>235</v>
      </c>
      <c r="F153" s="6">
        <v>45147</v>
      </c>
      <c r="G153" s="7">
        <v>0.75</v>
      </c>
      <c r="H153" t="s">
        <v>216</v>
      </c>
      <c r="I153" s="5" t="s">
        <v>236</v>
      </c>
      <c r="J153" t="s">
        <v>237</v>
      </c>
      <c r="K153" s="6">
        <v>45148</v>
      </c>
      <c r="L153" s="23">
        <v>0.375</v>
      </c>
      <c r="N153" s="5" t="s">
        <v>55</v>
      </c>
      <c r="O153" s="8" t="s">
        <v>450</v>
      </c>
      <c r="Q153" t="s">
        <v>451</v>
      </c>
      <c r="R153" s="5" t="s">
        <v>452</v>
      </c>
      <c r="S153" s="9">
        <v>10</v>
      </c>
      <c r="T153" s="9">
        <v>5</v>
      </c>
      <c r="U153" s="9">
        <v>5</v>
      </c>
      <c r="V153" s="10">
        <f>Table1[[#This Row],[MARGIN '[€']]]/Table1[[#This Row],[SALES '[€']]]</f>
        <v>0.5</v>
      </c>
      <c r="W153" s="5" t="s">
        <v>453</v>
      </c>
      <c r="X153" s="5" t="s">
        <v>454</v>
      </c>
      <c r="Y153" s="4">
        <v>656</v>
      </c>
      <c r="AA153" t="s">
        <v>163</v>
      </c>
      <c r="AL153" t="s">
        <v>61</v>
      </c>
    </row>
    <row r="154" spans="1:38" x14ac:dyDescent="0.25">
      <c r="A154" s="4">
        <v>32</v>
      </c>
      <c r="B154" t="s">
        <v>48</v>
      </c>
      <c r="C154" t="s">
        <v>49</v>
      </c>
      <c r="D154" s="5" t="s">
        <v>50</v>
      </c>
      <c r="E154" t="s">
        <v>51</v>
      </c>
      <c r="F154" s="6">
        <v>45147</v>
      </c>
      <c r="G154" s="7">
        <v>0.875</v>
      </c>
      <c r="H154" t="s">
        <v>90</v>
      </c>
      <c r="I154" s="5" t="s">
        <v>304</v>
      </c>
      <c r="J154" t="s">
        <v>305</v>
      </c>
      <c r="K154" s="6">
        <v>45148</v>
      </c>
      <c r="L154" s="23">
        <v>0.32291666666666702</v>
      </c>
      <c r="M154" s="5">
        <v>119589</v>
      </c>
      <c r="N154" s="5" t="s">
        <v>455</v>
      </c>
      <c r="O154" s="8" t="s">
        <v>56</v>
      </c>
      <c r="Q154" t="s">
        <v>456</v>
      </c>
      <c r="R154" s="5" t="s">
        <v>94</v>
      </c>
      <c r="S154" s="9">
        <v>10</v>
      </c>
      <c r="T154" s="9">
        <v>5</v>
      </c>
      <c r="U154" s="9">
        <v>5</v>
      </c>
      <c r="V154" s="10">
        <f>Table1[[#This Row],[MARGIN '[€']]]/Table1[[#This Row],[SALES '[€']]]</f>
        <v>0.5</v>
      </c>
      <c r="W154" s="5">
        <v>9215166509</v>
      </c>
      <c r="X154" s="5" t="s">
        <v>457</v>
      </c>
      <c r="Y154" s="4">
        <v>621</v>
      </c>
      <c r="AA154" t="s">
        <v>60</v>
      </c>
      <c r="AL154" t="s">
        <v>61</v>
      </c>
    </row>
    <row r="155" spans="1:38" x14ac:dyDescent="0.25">
      <c r="A155" s="4">
        <v>32</v>
      </c>
      <c r="B155" t="s">
        <v>48</v>
      </c>
      <c r="C155" t="s">
        <v>49</v>
      </c>
      <c r="D155" s="5" t="s">
        <v>50</v>
      </c>
      <c r="E155" t="s">
        <v>51</v>
      </c>
      <c r="F155" s="6">
        <v>45147</v>
      </c>
      <c r="G155" s="7">
        <v>0.31944444444444398</v>
      </c>
      <c r="H155" t="s">
        <v>90</v>
      </c>
      <c r="I155" s="5">
        <v>24</v>
      </c>
      <c r="J155" t="s">
        <v>92</v>
      </c>
      <c r="K155" s="6">
        <v>45148</v>
      </c>
      <c r="L155" s="23">
        <v>0.30902777777777801</v>
      </c>
      <c r="M155" s="5">
        <v>119636</v>
      </c>
      <c r="N155" s="5" t="s">
        <v>69</v>
      </c>
      <c r="O155" s="8" t="s">
        <v>56</v>
      </c>
      <c r="Q155" t="s">
        <v>104</v>
      </c>
      <c r="R155" s="5" t="s">
        <v>94</v>
      </c>
      <c r="S155" s="9">
        <v>10</v>
      </c>
      <c r="T155" s="9">
        <v>5</v>
      </c>
      <c r="U155" s="9">
        <v>5</v>
      </c>
      <c r="V155" s="10">
        <f>Table1[[#This Row],[MARGIN '[€']]]/Table1[[#This Row],[SALES '[€']]]</f>
        <v>0.5</v>
      </c>
      <c r="W155" s="5">
        <v>9215166510</v>
      </c>
      <c r="X155" s="5" t="s">
        <v>458</v>
      </c>
      <c r="Y155" s="4">
        <v>441</v>
      </c>
      <c r="Z155" t="s">
        <v>459</v>
      </c>
      <c r="AA155" t="s">
        <v>60</v>
      </c>
      <c r="AL155" t="s">
        <v>61</v>
      </c>
    </row>
    <row r="156" spans="1:38" x14ac:dyDescent="0.25">
      <c r="A156" s="4">
        <v>32</v>
      </c>
      <c r="B156" t="s">
        <v>48</v>
      </c>
      <c r="C156" t="s">
        <v>49</v>
      </c>
      <c r="D156" s="5" t="s">
        <v>50</v>
      </c>
      <c r="E156" t="s">
        <v>51</v>
      </c>
      <c r="F156" s="6">
        <v>45147</v>
      </c>
      <c r="H156" t="s">
        <v>90</v>
      </c>
      <c r="I156" s="5">
        <v>24</v>
      </c>
      <c r="J156" t="s">
        <v>92</v>
      </c>
      <c r="K156" s="6">
        <v>45148</v>
      </c>
      <c r="L156" s="23" t="s">
        <v>210</v>
      </c>
      <c r="M156" s="5">
        <v>119646</v>
      </c>
      <c r="N156" s="5" t="s">
        <v>69</v>
      </c>
      <c r="O156" s="8" t="s">
        <v>56</v>
      </c>
      <c r="Q156" t="s">
        <v>117</v>
      </c>
      <c r="R156" s="5" t="s">
        <v>118</v>
      </c>
      <c r="S156" s="9">
        <v>10</v>
      </c>
      <c r="T156" s="9">
        <v>5</v>
      </c>
      <c r="U156" s="9">
        <v>5</v>
      </c>
      <c r="V156" s="10">
        <f>Table1[[#This Row],[MARGIN '[€']]]/Table1[[#This Row],[SALES '[€']]]</f>
        <v>0.5</v>
      </c>
      <c r="Y156" s="4">
        <v>441</v>
      </c>
      <c r="AA156" t="s">
        <v>60</v>
      </c>
      <c r="AL156" t="s">
        <v>214</v>
      </c>
    </row>
    <row r="157" spans="1:38" x14ac:dyDescent="0.25">
      <c r="A157" s="4">
        <v>32</v>
      </c>
      <c r="B157" t="s">
        <v>48</v>
      </c>
      <c r="C157" t="s">
        <v>49</v>
      </c>
      <c r="D157" s="5" t="s">
        <v>50</v>
      </c>
      <c r="E157" t="s">
        <v>51</v>
      </c>
      <c r="F157" s="6">
        <v>45147</v>
      </c>
      <c r="H157" t="s">
        <v>90</v>
      </c>
      <c r="I157" s="5">
        <v>24</v>
      </c>
      <c r="J157" t="s">
        <v>92</v>
      </c>
      <c r="K157" s="6">
        <v>45148</v>
      </c>
      <c r="L157" s="23" t="s">
        <v>210</v>
      </c>
      <c r="M157" s="5">
        <v>119647</v>
      </c>
      <c r="N157" s="5" t="s">
        <v>69</v>
      </c>
      <c r="O157" s="8" t="s">
        <v>56</v>
      </c>
      <c r="R157" s="5" t="s">
        <v>94</v>
      </c>
      <c r="S157" s="9">
        <v>10</v>
      </c>
      <c r="T157" s="9">
        <v>5</v>
      </c>
      <c r="U157" s="9">
        <v>5</v>
      </c>
      <c r="V157" s="10">
        <f>Table1[[#This Row],[MARGIN '[€']]]/Table1[[#This Row],[SALES '[€']]]</f>
        <v>0.5</v>
      </c>
      <c r="Y157" s="4">
        <v>441</v>
      </c>
      <c r="Z157" t="s">
        <v>460</v>
      </c>
      <c r="AA157" t="s">
        <v>60</v>
      </c>
      <c r="AL157" t="s">
        <v>214</v>
      </c>
    </row>
    <row r="158" spans="1:38" x14ac:dyDescent="0.25">
      <c r="A158" s="4">
        <v>32</v>
      </c>
      <c r="B158" t="s">
        <v>48</v>
      </c>
      <c r="C158" t="s">
        <v>49</v>
      </c>
      <c r="D158" s="5" t="s">
        <v>50</v>
      </c>
      <c r="E158" t="s">
        <v>51</v>
      </c>
      <c r="F158" s="6">
        <v>45147</v>
      </c>
      <c r="H158" t="s">
        <v>90</v>
      </c>
      <c r="I158" s="5">
        <v>24</v>
      </c>
      <c r="J158" t="s">
        <v>92</v>
      </c>
      <c r="K158" s="6">
        <v>45148</v>
      </c>
      <c r="L158" s="23" t="s">
        <v>210</v>
      </c>
      <c r="M158" s="5">
        <v>119648</v>
      </c>
      <c r="N158" s="5" t="s">
        <v>69</v>
      </c>
      <c r="O158" s="8" t="s">
        <v>56</v>
      </c>
      <c r="R158" s="5" t="s">
        <v>98</v>
      </c>
      <c r="S158" s="9">
        <v>10</v>
      </c>
      <c r="T158" s="9">
        <v>5</v>
      </c>
      <c r="U158" s="9">
        <v>5</v>
      </c>
      <c r="V158" s="10">
        <f>Table1[[#This Row],[MARGIN '[€']]]/Table1[[#This Row],[SALES '[€']]]</f>
        <v>0.5</v>
      </c>
      <c r="Y158" s="4">
        <v>441</v>
      </c>
      <c r="Z158" t="s">
        <v>461</v>
      </c>
      <c r="AA158" t="s">
        <v>60</v>
      </c>
      <c r="AL158" t="s">
        <v>214</v>
      </c>
    </row>
    <row r="159" spans="1:38" x14ac:dyDescent="0.25">
      <c r="A159" s="4">
        <v>32</v>
      </c>
      <c r="B159" t="s">
        <v>48</v>
      </c>
      <c r="C159" t="s">
        <v>49</v>
      </c>
      <c r="D159" s="5" t="s">
        <v>50</v>
      </c>
      <c r="E159" t="s">
        <v>51</v>
      </c>
      <c r="F159" s="6">
        <v>45147</v>
      </c>
      <c r="G159" s="7">
        <v>0.22916666666666699</v>
      </c>
      <c r="H159" t="s">
        <v>49</v>
      </c>
      <c r="I159" s="5">
        <v>94</v>
      </c>
      <c r="J159" t="s">
        <v>110</v>
      </c>
      <c r="K159" s="6">
        <v>45147</v>
      </c>
      <c r="L159" s="23">
        <v>0.58333333333333304</v>
      </c>
      <c r="M159" s="5">
        <v>119697</v>
      </c>
      <c r="N159" s="5" t="s">
        <v>69</v>
      </c>
      <c r="O159" s="8" t="s">
        <v>56</v>
      </c>
      <c r="P159" t="s">
        <v>76</v>
      </c>
      <c r="Q159" t="s">
        <v>462</v>
      </c>
      <c r="R159" s="5" t="s">
        <v>98</v>
      </c>
      <c r="S159" s="9">
        <v>10</v>
      </c>
      <c r="T159" s="9">
        <v>5</v>
      </c>
      <c r="U159" s="9">
        <v>5</v>
      </c>
      <c r="V159" s="10">
        <f>Table1[[#This Row],[MARGIN '[€']]]/Table1[[#This Row],[SALES '[€']]]</f>
        <v>0.5</v>
      </c>
      <c r="W159" s="5" t="s">
        <v>463</v>
      </c>
      <c r="X159" s="5" t="s">
        <v>464</v>
      </c>
      <c r="Y159" s="4">
        <v>345</v>
      </c>
      <c r="AA159" t="s">
        <v>89</v>
      </c>
      <c r="AL159" t="s">
        <v>61</v>
      </c>
    </row>
    <row r="160" spans="1:38" x14ac:dyDescent="0.25">
      <c r="A160" s="4">
        <v>32</v>
      </c>
      <c r="B160" t="s">
        <v>137</v>
      </c>
      <c r="C160" t="s">
        <v>49</v>
      </c>
      <c r="D160" s="5" t="s">
        <v>50</v>
      </c>
      <c r="E160" t="s">
        <v>51</v>
      </c>
      <c r="F160" s="6">
        <v>45147</v>
      </c>
      <c r="G160" s="7">
        <v>0.40277777777777801</v>
      </c>
      <c r="H160" t="s">
        <v>49</v>
      </c>
      <c r="I160" s="5" t="s">
        <v>102</v>
      </c>
      <c r="J160" t="s">
        <v>103</v>
      </c>
      <c r="K160" s="6">
        <v>45147</v>
      </c>
      <c r="L160" s="23">
        <v>0.47916666666666702</v>
      </c>
      <c r="M160" s="5" t="s">
        <v>465</v>
      </c>
      <c r="N160" s="5" t="s">
        <v>69</v>
      </c>
      <c r="O160" s="8" t="s">
        <v>56</v>
      </c>
      <c r="Q160" t="s">
        <v>117</v>
      </c>
      <c r="R160" s="5" t="s">
        <v>118</v>
      </c>
      <c r="S160" s="9">
        <v>10</v>
      </c>
      <c r="T160" s="9">
        <v>5</v>
      </c>
      <c r="U160" s="9">
        <v>5</v>
      </c>
      <c r="V160" s="10">
        <f>Table1[[#This Row],[MARGIN '[€']]]/Table1[[#This Row],[SALES '[€']]]</f>
        <v>0.5</v>
      </c>
      <c r="W160" s="5">
        <v>9215166493</v>
      </c>
      <c r="X160" s="5" t="s">
        <v>466</v>
      </c>
      <c r="Y160" s="4">
        <v>57</v>
      </c>
      <c r="AA160" t="s">
        <v>89</v>
      </c>
      <c r="AL160" t="s">
        <v>61</v>
      </c>
    </row>
    <row r="161" spans="1:38" x14ac:dyDescent="0.25">
      <c r="A161" s="4">
        <v>32</v>
      </c>
      <c r="B161" t="s">
        <v>137</v>
      </c>
      <c r="C161" t="s">
        <v>49</v>
      </c>
      <c r="D161" s="5" t="s">
        <v>50</v>
      </c>
      <c r="E161" t="s">
        <v>51</v>
      </c>
      <c r="F161" s="6">
        <v>45147</v>
      </c>
      <c r="G161" s="7">
        <v>0.54166666666666696</v>
      </c>
      <c r="H161" t="s">
        <v>49</v>
      </c>
      <c r="I161" s="5" t="s">
        <v>102</v>
      </c>
      <c r="J161" t="s">
        <v>103</v>
      </c>
      <c r="K161" s="6">
        <v>45147</v>
      </c>
      <c r="L161" s="23">
        <v>0.60416666666666696</v>
      </c>
      <c r="M161" s="5" t="s">
        <v>467</v>
      </c>
      <c r="N161" s="5" t="s">
        <v>69</v>
      </c>
      <c r="O161" s="8" t="s">
        <v>56</v>
      </c>
      <c r="Q161" t="s">
        <v>117</v>
      </c>
      <c r="R161" s="5" t="s">
        <v>118</v>
      </c>
      <c r="S161" s="9">
        <v>10</v>
      </c>
      <c r="T161" s="9">
        <v>5</v>
      </c>
      <c r="U161" s="9">
        <v>5</v>
      </c>
      <c r="V161" s="10">
        <f>Table1[[#This Row],[MARGIN '[€']]]/Table1[[#This Row],[SALES '[€']]]</f>
        <v>0.5</v>
      </c>
      <c r="W161" s="5">
        <v>9215166494</v>
      </c>
      <c r="X161" s="5" t="s">
        <v>466</v>
      </c>
      <c r="Y161" s="4">
        <v>57</v>
      </c>
      <c r="AA161" t="s">
        <v>89</v>
      </c>
      <c r="AL161" t="s">
        <v>61</v>
      </c>
    </row>
    <row r="162" spans="1:38" x14ac:dyDescent="0.25">
      <c r="A162" s="4">
        <v>32</v>
      </c>
      <c r="B162" t="s">
        <v>137</v>
      </c>
      <c r="C162" t="s">
        <v>49</v>
      </c>
      <c r="D162" s="5" t="s">
        <v>50</v>
      </c>
      <c r="E162" t="s">
        <v>51</v>
      </c>
      <c r="F162" s="6">
        <v>45147</v>
      </c>
      <c r="G162" s="7">
        <v>0.69444444444444398</v>
      </c>
      <c r="H162" t="s">
        <v>49</v>
      </c>
      <c r="I162" s="5" t="s">
        <v>102</v>
      </c>
      <c r="J162" t="s">
        <v>103</v>
      </c>
      <c r="K162" s="6">
        <v>45147</v>
      </c>
      <c r="L162" s="23">
        <v>0.76388888888888895</v>
      </c>
      <c r="M162" s="5" t="s">
        <v>468</v>
      </c>
      <c r="N162" s="5" t="s">
        <v>69</v>
      </c>
      <c r="O162" s="8" t="s">
        <v>56</v>
      </c>
      <c r="Q162" t="s">
        <v>117</v>
      </c>
      <c r="R162" s="5" t="s">
        <v>118</v>
      </c>
      <c r="S162" s="9">
        <v>10</v>
      </c>
      <c r="T162" s="9">
        <v>5</v>
      </c>
      <c r="U162" s="9">
        <v>5</v>
      </c>
      <c r="V162" s="10">
        <f>Table1[[#This Row],[MARGIN '[€']]]/Table1[[#This Row],[SALES '[€']]]</f>
        <v>0.5</v>
      </c>
      <c r="W162" s="5">
        <v>9215166495</v>
      </c>
      <c r="X162" s="5" t="s">
        <v>466</v>
      </c>
      <c r="Y162" s="4">
        <v>57</v>
      </c>
      <c r="AA162" t="s">
        <v>89</v>
      </c>
      <c r="AL162" t="s">
        <v>61</v>
      </c>
    </row>
    <row r="163" spans="1:38" x14ac:dyDescent="0.25">
      <c r="A163" s="4">
        <v>32</v>
      </c>
      <c r="B163" t="s">
        <v>137</v>
      </c>
      <c r="C163" t="s">
        <v>49</v>
      </c>
      <c r="D163" s="5" t="s">
        <v>50</v>
      </c>
      <c r="E163" t="s">
        <v>51</v>
      </c>
      <c r="F163" s="6">
        <v>45147</v>
      </c>
      <c r="G163" s="7">
        <v>0.81944444444444398</v>
      </c>
      <c r="H163" t="s">
        <v>49</v>
      </c>
      <c r="I163" s="5" t="s">
        <v>102</v>
      </c>
      <c r="J163" t="s">
        <v>103</v>
      </c>
      <c r="K163" s="6">
        <v>45147</v>
      </c>
      <c r="L163" s="23">
        <v>0.875</v>
      </c>
      <c r="M163" s="5" t="s">
        <v>469</v>
      </c>
      <c r="N163" s="5" t="s">
        <v>69</v>
      </c>
      <c r="O163" s="8" t="s">
        <v>56</v>
      </c>
      <c r="Q163" t="s">
        <v>117</v>
      </c>
      <c r="R163" s="5" t="s">
        <v>118</v>
      </c>
      <c r="S163" s="9">
        <v>10</v>
      </c>
      <c r="T163" s="9">
        <v>5</v>
      </c>
      <c r="U163" s="9">
        <v>5</v>
      </c>
      <c r="V163" s="10">
        <f>Table1[[#This Row],[MARGIN '[€']]]/Table1[[#This Row],[SALES '[€']]]</f>
        <v>0.5</v>
      </c>
      <c r="W163" s="5">
        <v>9215166496</v>
      </c>
      <c r="X163" s="5" t="s">
        <v>466</v>
      </c>
      <c r="Y163" s="4">
        <v>57</v>
      </c>
      <c r="AA163" t="s">
        <v>89</v>
      </c>
      <c r="AL163" t="s">
        <v>61</v>
      </c>
    </row>
    <row r="164" spans="1:38" x14ac:dyDescent="0.25">
      <c r="A164" s="4">
        <v>32</v>
      </c>
      <c r="B164" t="s">
        <v>48</v>
      </c>
      <c r="C164" t="s">
        <v>49</v>
      </c>
      <c r="D164" s="5" t="s">
        <v>50</v>
      </c>
      <c r="E164" t="s">
        <v>51</v>
      </c>
      <c r="F164" s="6">
        <v>45148</v>
      </c>
      <c r="G164" s="7">
        <v>0.16666666666666699</v>
      </c>
      <c r="H164" t="s">
        <v>52</v>
      </c>
      <c r="I164" s="5" t="s">
        <v>53</v>
      </c>
      <c r="J164" t="s">
        <v>54</v>
      </c>
      <c r="K164" s="6">
        <v>45148</v>
      </c>
      <c r="L164" s="23">
        <v>0.75</v>
      </c>
      <c r="M164" s="5">
        <v>119675</v>
      </c>
      <c r="N164" s="5" t="s">
        <v>55</v>
      </c>
      <c r="O164" s="8" t="s">
        <v>56</v>
      </c>
      <c r="Q164" t="s">
        <v>62</v>
      </c>
      <c r="R164" s="5" t="s">
        <v>58</v>
      </c>
      <c r="S164" s="9">
        <v>10</v>
      </c>
      <c r="T164" s="9">
        <v>5</v>
      </c>
      <c r="U164" s="9">
        <v>5</v>
      </c>
      <c r="V164" s="10">
        <f>Table1[[#This Row],[MARGIN '[€']]]/Table1[[#This Row],[SALES '[€']]]</f>
        <v>0.5</v>
      </c>
      <c r="W164" s="5">
        <v>9215166541</v>
      </c>
      <c r="X164" s="5" t="s">
        <v>470</v>
      </c>
      <c r="Y164" s="4">
        <v>82</v>
      </c>
      <c r="AA164" t="s">
        <v>89</v>
      </c>
      <c r="AL164" t="s">
        <v>61</v>
      </c>
    </row>
    <row r="165" spans="1:38" x14ac:dyDescent="0.25">
      <c r="A165" s="4">
        <v>32</v>
      </c>
      <c r="B165" t="s">
        <v>48</v>
      </c>
      <c r="C165" t="s">
        <v>49</v>
      </c>
      <c r="D165" s="5" t="s">
        <v>50</v>
      </c>
      <c r="E165" t="s">
        <v>51</v>
      </c>
      <c r="F165" s="6">
        <v>45148</v>
      </c>
      <c r="G165" s="7">
        <v>0.1875</v>
      </c>
      <c r="H165" t="s">
        <v>52</v>
      </c>
      <c r="I165" s="5" t="s">
        <v>53</v>
      </c>
      <c r="J165" t="s">
        <v>54</v>
      </c>
      <c r="K165" s="6">
        <v>45148</v>
      </c>
      <c r="L165" s="23">
        <v>0.75</v>
      </c>
      <c r="M165" s="5">
        <v>119676</v>
      </c>
      <c r="N165" s="5" t="s">
        <v>55</v>
      </c>
      <c r="O165" s="8" t="s">
        <v>56</v>
      </c>
      <c r="Q165" t="s">
        <v>57</v>
      </c>
      <c r="R165" s="5" t="s">
        <v>58</v>
      </c>
      <c r="S165" s="9">
        <v>10</v>
      </c>
      <c r="T165" s="9">
        <v>5</v>
      </c>
      <c r="U165" s="9">
        <v>5</v>
      </c>
      <c r="V165" s="10">
        <f>Table1[[#This Row],[MARGIN '[€']]]/Table1[[#This Row],[SALES '[€']]]</f>
        <v>0.5</v>
      </c>
      <c r="W165" s="5">
        <v>9215166543</v>
      </c>
      <c r="X165" s="5" t="s">
        <v>471</v>
      </c>
      <c r="Y165" s="4">
        <v>82</v>
      </c>
      <c r="AA165" t="s">
        <v>89</v>
      </c>
      <c r="AL165" t="s">
        <v>61</v>
      </c>
    </row>
    <row r="166" spans="1:38" x14ac:dyDescent="0.25">
      <c r="A166" s="4">
        <v>32</v>
      </c>
      <c r="B166" t="s">
        <v>48</v>
      </c>
      <c r="C166" t="s">
        <v>49</v>
      </c>
      <c r="D166" s="5" t="s">
        <v>50</v>
      </c>
      <c r="E166" t="s">
        <v>51</v>
      </c>
      <c r="F166" s="6">
        <v>45148</v>
      </c>
      <c r="G166" s="7">
        <v>0.20833333333333301</v>
      </c>
      <c r="H166" t="s">
        <v>52</v>
      </c>
      <c r="I166" s="5" t="s">
        <v>53</v>
      </c>
      <c r="J166" t="s">
        <v>54</v>
      </c>
      <c r="K166" s="6">
        <v>45148</v>
      </c>
      <c r="L166" s="23">
        <v>0.75</v>
      </c>
      <c r="M166" s="5">
        <v>119677</v>
      </c>
      <c r="N166" s="5" t="s">
        <v>55</v>
      </c>
      <c r="O166" s="8" t="s">
        <v>56</v>
      </c>
      <c r="Q166" t="s">
        <v>64</v>
      </c>
      <c r="R166" s="5" t="s">
        <v>58</v>
      </c>
      <c r="S166" s="9">
        <v>10</v>
      </c>
      <c r="T166" s="9">
        <v>5</v>
      </c>
      <c r="U166" s="9">
        <v>5</v>
      </c>
      <c r="V166" s="10">
        <f>Table1[[#This Row],[MARGIN '[€']]]/Table1[[#This Row],[SALES '[€']]]</f>
        <v>0.5</v>
      </c>
      <c r="W166" s="5">
        <v>9215166546</v>
      </c>
      <c r="X166" s="5" t="s">
        <v>472</v>
      </c>
      <c r="Y166" s="4">
        <v>82</v>
      </c>
      <c r="AA166" t="s">
        <v>89</v>
      </c>
      <c r="AL166" t="s">
        <v>61</v>
      </c>
    </row>
    <row r="167" spans="1:38" x14ac:dyDescent="0.25">
      <c r="A167" s="4">
        <v>32</v>
      </c>
      <c r="B167" t="s">
        <v>48</v>
      </c>
      <c r="C167" t="s">
        <v>49</v>
      </c>
      <c r="D167" s="5" t="s">
        <v>50</v>
      </c>
      <c r="E167" t="s">
        <v>51</v>
      </c>
      <c r="F167" s="6">
        <v>45148</v>
      </c>
      <c r="G167" s="7">
        <v>0.33333333333333298</v>
      </c>
      <c r="H167" t="s">
        <v>52</v>
      </c>
      <c r="I167" s="5" t="s">
        <v>53</v>
      </c>
      <c r="J167" t="s">
        <v>54</v>
      </c>
      <c r="K167" s="6">
        <v>45148</v>
      </c>
      <c r="L167" s="23">
        <v>0.75</v>
      </c>
      <c r="M167" s="5">
        <v>119678</v>
      </c>
      <c r="N167" s="5" t="s">
        <v>55</v>
      </c>
      <c r="O167" s="8" t="s">
        <v>56</v>
      </c>
      <c r="Q167" t="s">
        <v>62</v>
      </c>
      <c r="R167" s="5" t="s">
        <v>58</v>
      </c>
      <c r="S167" s="9">
        <v>10</v>
      </c>
      <c r="T167" s="9">
        <v>5</v>
      </c>
      <c r="U167" s="9">
        <v>5</v>
      </c>
      <c r="V167" s="10">
        <f>Table1[[#This Row],[MARGIN '[€']]]/Table1[[#This Row],[SALES '[€']]]</f>
        <v>0.5</v>
      </c>
      <c r="W167" s="5">
        <v>9215166542</v>
      </c>
      <c r="X167" s="5" t="s">
        <v>470</v>
      </c>
      <c r="Y167" s="4">
        <v>82</v>
      </c>
      <c r="AA167" t="s">
        <v>89</v>
      </c>
      <c r="AL167" t="s">
        <v>61</v>
      </c>
    </row>
    <row r="168" spans="1:38" x14ac:dyDescent="0.25">
      <c r="A168" s="4">
        <v>32</v>
      </c>
      <c r="B168" t="s">
        <v>48</v>
      </c>
      <c r="C168" t="s">
        <v>49</v>
      </c>
      <c r="D168" s="5" t="s">
        <v>50</v>
      </c>
      <c r="E168" t="s">
        <v>51</v>
      </c>
      <c r="F168" s="6">
        <v>45148</v>
      </c>
      <c r="G168" s="7">
        <v>0.34722222222222199</v>
      </c>
      <c r="H168" t="s">
        <v>52</v>
      </c>
      <c r="I168" s="5" t="s">
        <v>53</v>
      </c>
      <c r="J168" t="s">
        <v>54</v>
      </c>
      <c r="K168" s="6">
        <v>45148</v>
      </c>
      <c r="L168" s="23">
        <v>0.75</v>
      </c>
      <c r="M168" s="5">
        <v>119679</v>
      </c>
      <c r="N168" s="5" t="s">
        <v>55</v>
      </c>
      <c r="O168" s="8" t="s">
        <v>56</v>
      </c>
      <c r="Q168" t="s">
        <v>57</v>
      </c>
      <c r="R168" s="5" t="s">
        <v>58</v>
      </c>
      <c r="S168" s="9">
        <v>10</v>
      </c>
      <c r="T168" s="9">
        <v>5</v>
      </c>
      <c r="U168" s="9">
        <v>5</v>
      </c>
      <c r="V168" s="10">
        <f>Table1[[#This Row],[MARGIN '[€']]]/Table1[[#This Row],[SALES '[€']]]</f>
        <v>0.5</v>
      </c>
      <c r="W168" s="5">
        <v>9215166545</v>
      </c>
      <c r="X168" s="5" t="s">
        <v>471</v>
      </c>
      <c r="Y168" s="4">
        <v>82</v>
      </c>
      <c r="AA168" t="s">
        <v>89</v>
      </c>
      <c r="AL168" t="s">
        <v>61</v>
      </c>
    </row>
    <row r="169" spans="1:38" x14ac:dyDescent="0.25">
      <c r="A169" s="4">
        <v>32</v>
      </c>
      <c r="B169" t="s">
        <v>48</v>
      </c>
      <c r="C169" t="s">
        <v>49</v>
      </c>
      <c r="D169" s="5" t="s">
        <v>50</v>
      </c>
      <c r="E169" t="s">
        <v>51</v>
      </c>
      <c r="F169" s="6">
        <v>45148</v>
      </c>
      <c r="G169" s="7">
        <v>0.36111111111111099</v>
      </c>
      <c r="H169" t="s">
        <v>52</v>
      </c>
      <c r="I169" s="5" t="s">
        <v>53</v>
      </c>
      <c r="J169" t="s">
        <v>54</v>
      </c>
      <c r="K169" s="6">
        <v>45148</v>
      </c>
      <c r="L169" s="23">
        <v>0.75</v>
      </c>
      <c r="M169" s="5">
        <v>119680</v>
      </c>
      <c r="N169" s="5" t="s">
        <v>55</v>
      </c>
      <c r="O169" s="8" t="s">
        <v>56</v>
      </c>
      <c r="Q169" t="s">
        <v>64</v>
      </c>
      <c r="R169" s="5" t="s">
        <v>58</v>
      </c>
      <c r="S169" s="9">
        <v>10</v>
      </c>
      <c r="T169" s="9">
        <v>5</v>
      </c>
      <c r="U169" s="9">
        <v>5</v>
      </c>
      <c r="V169" s="10">
        <f>Table1[[#This Row],[MARGIN '[€']]]/Table1[[#This Row],[SALES '[€']]]</f>
        <v>0.5</v>
      </c>
      <c r="W169" s="5">
        <v>9215166547</v>
      </c>
      <c r="X169" s="5" t="s">
        <v>472</v>
      </c>
      <c r="Y169" s="4">
        <v>82</v>
      </c>
      <c r="AA169" t="s">
        <v>89</v>
      </c>
      <c r="AL169" t="s">
        <v>61</v>
      </c>
    </row>
    <row r="170" spans="1:38" x14ac:dyDescent="0.25">
      <c r="A170" s="4">
        <v>32</v>
      </c>
      <c r="B170" t="s">
        <v>137</v>
      </c>
      <c r="C170" t="s">
        <v>49</v>
      </c>
      <c r="D170" s="5" t="s">
        <v>50</v>
      </c>
      <c r="E170" t="s">
        <v>51</v>
      </c>
      <c r="F170" s="6">
        <v>45148</v>
      </c>
      <c r="G170" s="7">
        <v>0.30555555555555503</v>
      </c>
      <c r="H170" t="s">
        <v>138</v>
      </c>
      <c r="I170" s="5" t="s">
        <v>139</v>
      </c>
      <c r="J170" t="s">
        <v>140</v>
      </c>
      <c r="K170" s="6">
        <v>45152</v>
      </c>
      <c r="L170" s="23">
        <v>0.47916666666666702</v>
      </c>
      <c r="M170" s="5" t="s">
        <v>473</v>
      </c>
      <c r="N170" s="5" t="s">
        <v>142</v>
      </c>
      <c r="O170" s="8" t="s">
        <v>56</v>
      </c>
      <c r="P170" t="s">
        <v>280</v>
      </c>
      <c r="Q170" t="s">
        <v>474</v>
      </c>
      <c r="R170" s="5" t="s">
        <v>145</v>
      </c>
      <c r="S170" s="9">
        <v>10</v>
      </c>
      <c r="T170" s="9">
        <v>5</v>
      </c>
      <c r="U170" s="9">
        <v>5</v>
      </c>
      <c r="V170" s="10">
        <f>Table1[[#This Row],[MARGIN '[€']]]/Table1[[#This Row],[SALES '[€']]]</f>
        <v>0.5</v>
      </c>
      <c r="W170" s="5">
        <v>9215166492</v>
      </c>
      <c r="X170" s="5" t="s">
        <v>475</v>
      </c>
      <c r="Y170" s="4">
        <v>1360</v>
      </c>
      <c r="AA170" t="s">
        <v>60</v>
      </c>
      <c r="AL170" t="s">
        <v>61</v>
      </c>
    </row>
    <row r="171" spans="1:38" x14ac:dyDescent="0.25">
      <c r="A171" s="4">
        <v>32</v>
      </c>
      <c r="B171" t="s">
        <v>476</v>
      </c>
      <c r="C171" t="s">
        <v>153</v>
      </c>
      <c r="D171" s="5" t="s">
        <v>477</v>
      </c>
      <c r="E171" t="s">
        <v>478</v>
      </c>
      <c r="F171" s="6">
        <v>45148</v>
      </c>
      <c r="G171" s="7">
        <v>0.79166666666666696</v>
      </c>
      <c r="H171" t="s">
        <v>49</v>
      </c>
      <c r="I171" s="5" t="s">
        <v>479</v>
      </c>
      <c r="J171" t="s">
        <v>480</v>
      </c>
      <c r="K171" s="6">
        <v>45152</v>
      </c>
      <c r="L171" s="23">
        <v>0.41666666666666702</v>
      </c>
      <c r="N171" s="5" t="s">
        <v>55</v>
      </c>
      <c r="O171" s="8" t="s">
        <v>56</v>
      </c>
      <c r="P171" t="s">
        <v>238</v>
      </c>
      <c r="Q171" t="s">
        <v>481</v>
      </c>
      <c r="R171" s="5" t="s">
        <v>482</v>
      </c>
      <c r="S171" s="9">
        <v>10</v>
      </c>
      <c r="T171" s="9">
        <v>5</v>
      </c>
      <c r="U171" s="9">
        <v>5</v>
      </c>
      <c r="V171" s="10">
        <f>Table1[[#This Row],[MARGIN '[€']]]/Table1[[#This Row],[SALES '[€']]]</f>
        <v>0.5</v>
      </c>
      <c r="W171" s="5">
        <v>9215166358</v>
      </c>
      <c r="X171" s="5" t="s">
        <v>483</v>
      </c>
      <c r="Y171" s="4">
        <v>1900</v>
      </c>
      <c r="AA171" t="s">
        <v>60</v>
      </c>
      <c r="AL171" t="s">
        <v>61</v>
      </c>
    </row>
    <row r="172" spans="1:38" x14ac:dyDescent="0.25">
      <c r="A172" s="4">
        <v>32</v>
      </c>
      <c r="B172" t="s">
        <v>333</v>
      </c>
      <c r="C172" t="s">
        <v>49</v>
      </c>
      <c r="D172" s="5" t="s">
        <v>334</v>
      </c>
      <c r="E172" t="s">
        <v>335</v>
      </c>
      <c r="F172" s="6">
        <v>45148</v>
      </c>
      <c r="G172" s="7">
        <v>0.45833333333333298</v>
      </c>
      <c r="H172" t="s">
        <v>384</v>
      </c>
      <c r="I172" s="5">
        <v>29</v>
      </c>
      <c r="J172" t="s">
        <v>386</v>
      </c>
      <c r="K172" s="6">
        <v>45154</v>
      </c>
      <c r="L172" s="23">
        <v>0.33333333333333298</v>
      </c>
      <c r="M172" s="5">
        <v>1002943575</v>
      </c>
      <c r="N172" s="5" t="s">
        <v>69</v>
      </c>
      <c r="O172" s="8" t="s">
        <v>387</v>
      </c>
      <c r="Q172" t="s">
        <v>484</v>
      </c>
      <c r="R172" s="5" t="s">
        <v>485</v>
      </c>
      <c r="S172" s="9">
        <v>10</v>
      </c>
      <c r="T172" s="9">
        <v>5</v>
      </c>
      <c r="U172" s="9">
        <v>5</v>
      </c>
      <c r="V172" s="10">
        <f>Table1[[#This Row],[MARGIN '[€']]]/Table1[[#This Row],[SALES '[€']]]</f>
        <v>0.5</v>
      </c>
      <c r="W172" s="5">
        <v>9215166511</v>
      </c>
      <c r="X172" s="5" t="s">
        <v>486</v>
      </c>
      <c r="Y172" s="4">
        <v>1233</v>
      </c>
      <c r="AA172" t="s">
        <v>342</v>
      </c>
      <c r="AL172" t="s">
        <v>61</v>
      </c>
    </row>
    <row r="173" spans="1:38" x14ac:dyDescent="0.25">
      <c r="A173" s="4">
        <v>32</v>
      </c>
      <c r="B173" t="s">
        <v>234</v>
      </c>
      <c r="C173" t="s">
        <v>49</v>
      </c>
      <c r="D173" s="5" t="s">
        <v>50</v>
      </c>
      <c r="E173" t="s">
        <v>235</v>
      </c>
      <c r="F173" s="6">
        <v>45148</v>
      </c>
      <c r="G173" s="7">
        <v>0.75</v>
      </c>
      <c r="H173" t="s">
        <v>216</v>
      </c>
      <c r="I173" s="5" t="s">
        <v>236</v>
      </c>
      <c r="J173" t="s">
        <v>237</v>
      </c>
      <c r="K173" s="6">
        <v>45149</v>
      </c>
      <c r="L173" s="23">
        <v>0.33333333333333298</v>
      </c>
      <c r="N173" s="5" t="s">
        <v>55</v>
      </c>
      <c r="O173" s="8" t="s">
        <v>238</v>
      </c>
      <c r="Q173" t="s">
        <v>451</v>
      </c>
      <c r="R173" s="5" t="s">
        <v>452</v>
      </c>
      <c r="S173" s="9">
        <v>10</v>
      </c>
      <c r="T173" s="9">
        <v>5</v>
      </c>
      <c r="U173" s="9">
        <v>5</v>
      </c>
      <c r="V173" s="10">
        <f>Table1[[#This Row],[MARGIN '[€']]]/Table1[[#This Row],[SALES '[€']]]</f>
        <v>0.5</v>
      </c>
      <c r="W173" s="5">
        <v>9215166536</v>
      </c>
      <c r="X173" s="5" t="s">
        <v>487</v>
      </c>
      <c r="Y173" s="4">
        <v>328</v>
      </c>
      <c r="AA173" t="s">
        <v>163</v>
      </c>
      <c r="AL173" t="s">
        <v>61</v>
      </c>
    </row>
    <row r="174" spans="1:38" x14ac:dyDescent="0.25">
      <c r="A174" s="4">
        <v>32</v>
      </c>
      <c r="B174" t="s">
        <v>48</v>
      </c>
      <c r="C174" t="s">
        <v>49</v>
      </c>
      <c r="D174" s="5" t="s">
        <v>50</v>
      </c>
      <c r="E174" t="s">
        <v>51</v>
      </c>
      <c r="F174" s="6">
        <v>45148</v>
      </c>
      <c r="G174" s="7">
        <v>0.29166666666666702</v>
      </c>
      <c r="H174" t="s">
        <v>90</v>
      </c>
      <c r="I174" s="5">
        <v>24</v>
      </c>
      <c r="J174" t="s">
        <v>92</v>
      </c>
      <c r="K174" s="6">
        <v>45148</v>
      </c>
      <c r="L174" s="23">
        <v>0.61458333333333304</v>
      </c>
      <c r="M174" s="5">
        <v>119637</v>
      </c>
      <c r="N174" s="5" t="s">
        <v>69</v>
      </c>
      <c r="O174" s="8" t="s">
        <v>56</v>
      </c>
      <c r="Q174" t="s">
        <v>488</v>
      </c>
      <c r="R174" s="5" t="s">
        <v>207</v>
      </c>
      <c r="S174" s="9">
        <v>10</v>
      </c>
      <c r="T174" s="9">
        <v>5</v>
      </c>
      <c r="U174" s="9">
        <v>5</v>
      </c>
      <c r="V174" s="10">
        <f>Table1[[#This Row],[MARGIN '[€']]]/Table1[[#This Row],[SALES '[€']]]</f>
        <v>0.5</v>
      </c>
      <c r="W174" s="5">
        <v>9215166521</v>
      </c>
      <c r="X174" s="5" t="s">
        <v>489</v>
      </c>
      <c r="Y174" s="4">
        <v>441</v>
      </c>
      <c r="Z174" t="s">
        <v>490</v>
      </c>
      <c r="AA174" t="s">
        <v>60</v>
      </c>
      <c r="AL174" t="s">
        <v>61</v>
      </c>
    </row>
    <row r="175" spans="1:38" x14ac:dyDescent="0.25">
      <c r="A175" s="4">
        <v>32</v>
      </c>
      <c r="B175" t="s">
        <v>48</v>
      </c>
      <c r="C175" t="s">
        <v>49</v>
      </c>
      <c r="D175" s="5" t="s">
        <v>50</v>
      </c>
      <c r="E175" t="s">
        <v>51</v>
      </c>
      <c r="F175" s="6">
        <v>45148</v>
      </c>
      <c r="G175" s="7">
        <v>0.5</v>
      </c>
      <c r="H175" t="s">
        <v>90</v>
      </c>
      <c r="I175" s="5">
        <v>24</v>
      </c>
      <c r="J175" t="s">
        <v>92</v>
      </c>
      <c r="K175" s="6">
        <v>45149</v>
      </c>
      <c r="L175" s="23">
        <v>0.30902777777777801</v>
      </c>
      <c r="M175" s="5">
        <v>119651</v>
      </c>
      <c r="N175" s="5" t="s">
        <v>69</v>
      </c>
      <c r="O175" s="8" t="s">
        <v>56</v>
      </c>
      <c r="P175" t="s">
        <v>76</v>
      </c>
      <c r="Q175" t="s">
        <v>117</v>
      </c>
      <c r="R175" s="5" t="s">
        <v>118</v>
      </c>
      <c r="S175" s="9">
        <v>10</v>
      </c>
      <c r="T175" s="9">
        <v>5</v>
      </c>
      <c r="U175" s="9">
        <v>5</v>
      </c>
      <c r="V175" s="10">
        <f>Table1[[#This Row],[MARGIN '[€']]]/Table1[[#This Row],[SALES '[€']]]</f>
        <v>0.5</v>
      </c>
      <c r="W175" s="5" t="s">
        <v>491</v>
      </c>
      <c r="X175" s="5" t="s">
        <v>492</v>
      </c>
      <c r="Y175" s="4">
        <v>441</v>
      </c>
      <c r="Z175" t="s">
        <v>493</v>
      </c>
      <c r="AA175" t="s">
        <v>60</v>
      </c>
      <c r="AL175" t="s">
        <v>61</v>
      </c>
    </row>
    <row r="176" spans="1:38" x14ac:dyDescent="0.25">
      <c r="A176" s="4">
        <v>32</v>
      </c>
      <c r="B176" t="s">
        <v>48</v>
      </c>
      <c r="C176" t="s">
        <v>49</v>
      </c>
      <c r="D176" s="5" t="s">
        <v>50</v>
      </c>
      <c r="E176" t="s">
        <v>51</v>
      </c>
      <c r="F176" s="6">
        <v>45148</v>
      </c>
      <c r="G176" s="7">
        <v>0.97916666666666696</v>
      </c>
      <c r="H176" t="s">
        <v>90</v>
      </c>
      <c r="I176" s="5">
        <v>24</v>
      </c>
      <c r="J176" t="s">
        <v>92</v>
      </c>
      <c r="K176" s="6">
        <v>45149</v>
      </c>
      <c r="L176" s="23">
        <v>0.49652777777777801</v>
      </c>
      <c r="M176" s="5">
        <v>119654</v>
      </c>
      <c r="N176" s="5" t="s">
        <v>69</v>
      </c>
      <c r="O176" s="8" t="s">
        <v>56</v>
      </c>
      <c r="Q176" t="s">
        <v>188</v>
      </c>
      <c r="R176" s="5" t="s">
        <v>94</v>
      </c>
      <c r="S176" s="9">
        <v>10</v>
      </c>
      <c r="T176" s="9">
        <v>5</v>
      </c>
      <c r="U176" s="9">
        <v>5</v>
      </c>
      <c r="V176" s="10">
        <f>Table1[[#This Row],[MARGIN '[€']]]/Table1[[#This Row],[SALES '[€']]]</f>
        <v>0.5</v>
      </c>
      <c r="W176" s="5">
        <v>9215166523</v>
      </c>
      <c r="X176" s="5" t="s">
        <v>494</v>
      </c>
      <c r="Y176" s="4">
        <v>441</v>
      </c>
      <c r="Z176" t="s">
        <v>495</v>
      </c>
      <c r="AA176" t="s">
        <v>60</v>
      </c>
      <c r="AL176" t="s">
        <v>61</v>
      </c>
    </row>
    <row r="177" spans="1:38" x14ac:dyDescent="0.25">
      <c r="A177" s="4">
        <v>32</v>
      </c>
      <c r="B177" t="s">
        <v>48</v>
      </c>
      <c r="C177" t="s">
        <v>49</v>
      </c>
      <c r="D177" s="5" t="s">
        <v>102</v>
      </c>
      <c r="E177" t="s">
        <v>103</v>
      </c>
      <c r="F177" s="6">
        <v>45148</v>
      </c>
      <c r="G177" s="7">
        <v>0.46875</v>
      </c>
      <c r="H177" t="s">
        <v>49</v>
      </c>
      <c r="I177" s="5">
        <v>94</v>
      </c>
      <c r="J177" t="s">
        <v>110</v>
      </c>
      <c r="K177" s="6">
        <v>45149</v>
      </c>
      <c r="L177" s="23">
        <v>0.375</v>
      </c>
      <c r="M177" s="5">
        <v>119698</v>
      </c>
      <c r="N177" s="5" t="s">
        <v>69</v>
      </c>
      <c r="O177" s="8" t="s">
        <v>56</v>
      </c>
      <c r="P177" t="s">
        <v>76</v>
      </c>
      <c r="Q177" t="s">
        <v>311</v>
      </c>
      <c r="R177" s="5" t="s">
        <v>312</v>
      </c>
      <c r="S177" s="9">
        <v>10</v>
      </c>
      <c r="T177" s="9">
        <v>5</v>
      </c>
      <c r="U177" s="9">
        <v>5</v>
      </c>
      <c r="V177" s="10">
        <f>Table1[[#This Row],[MARGIN '[€']]]/Table1[[#This Row],[SALES '[€']]]</f>
        <v>0.5</v>
      </c>
      <c r="W177" s="5" t="s">
        <v>496</v>
      </c>
      <c r="X177" s="5" t="s">
        <v>497</v>
      </c>
      <c r="Y177" s="4">
        <v>345</v>
      </c>
      <c r="AA177" t="s">
        <v>89</v>
      </c>
      <c r="AL177" t="s">
        <v>61</v>
      </c>
    </row>
    <row r="178" spans="1:38" x14ac:dyDescent="0.25">
      <c r="A178" s="4">
        <v>32</v>
      </c>
      <c r="B178" t="s">
        <v>137</v>
      </c>
      <c r="C178" t="s">
        <v>49</v>
      </c>
      <c r="D178" s="5" t="s">
        <v>50</v>
      </c>
      <c r="E178" t="s">
        <v>51</v>
      </c>
      <c r="F178" s="6">
        <v>45148</v>
      </c>
      <c r="G178" s="7">
        <v>0.29166666666666702</v>
      </c>
      <c r="H178" t="s">
        <v>49</v>
      </c>
      <c r="I178" s="5" t="s">
        <v>102</v>
      </c>
      <c r="J178" t="s">
        <v>103</v>
      </c>
      <c r="K178" s="6">
        <v>45148</v>
      </c>
      <c r="L178" s="23">
        <v>0.35416666666666702</v>
      </c>
      <c r="M178" s="5" t="s">
        <v>498</v>
      </c>
      <c r="N178" s="5" t="s">
        <v>69</v>
      </c>
      <c r="O178" s="8" t="s">
        <v>56</v>
      </c>
      <c r="Q178" t="s">
        <v>499</v>
      </c>
      <c r="R178" s="5" t="s">
        <v>500</v>
      </c>
      <c r="S178" s="9">
        <v>10</v>
      </c>
      <c r="T178" s="9">
        <v>5</v>
      </c>
      <c r="U178" s="9">
        <v>5</v>
      </c>
      <c r="V178" s="10">
        <f>Table1[[#This Row],[MARGIN '[€']]]/Table1[[#This Row],[SALES '[€']]]</f>
        <v>0.5</v>
      </c>
      <c r="W178" s="5">
        <v>9215166528</v>
      </c>
      <c r="X178" s="5" t="s">
        <v>501</v>
      </c>
      <c r="Y178" s="4">
        <v>57</v>
      </c>
      <c r="AA178" t="s">
        <v>89</v>
      </c>
      <c r="AL178" t="s">
        <v>61</v>
      </c>
    </row>
    <row r="179" spans="1:38" x14ac:dyDescent="0.25">
      <c r="A179" s="4">
        <v>32</v>
      </c>
      <c r="B179" t="s">
        <v>137</v>
      </c>
      <c r="C179" t="s">
        <v>49</v>
      </c>
      <c r="D179" s="5" t="s">
        <v>50</v>
      </c>
      <c r="E179" t="s">
        <v>51</v>
      </c>
      <c r="F179" s="6">
        <v>45148</v>
      </c>
      <c r="G179" s="7">
        <v>0.45833333333333298</v>
      </c>
      <c r="H179" t="s">
        <v>49</v>
      </c>
      <c r="I179" s="5" t="s">
        <v>102</v>
      </c>
      <c r="J179" t="s">
        <v>103</v>
      </c>
      <c r="K179" s="6">
        <v>45148</v>
      </c>
      <c r="L179" s="23">
        <v>0.52083333333333304</v>
      </c>
      <c r="M179" s="5" t="s">
        <v>502</v>
      </c>
      <c r="N179" s="5" t="s">
        <v>69</v>
      </c>
      <c r="O179" s="8" t="s">
        <v>56</v>
      </c>
      <c r="Q179" t="s">
        <v>499</v>
      </c>
      <c r="R179" s="5" t="s">
        <v>500</v>
      </c>
      <c r="S179" s="9">
        <v>10</v>
      </c>
      <c r="T179" s="9">
        <v>5</v>
      </c>
      <c r="U179" s="9">
        <v>5</v>
      </c>
      <c r="V179" s="10">
        <f>Table1[[#This Row],[MARGIN '[€']]]/Table1[[#This Row],[SALES '[€']]]</f>
        <v>0.5</v>
      </c>
      <c r="W179" s="5">
        <v>9215166529</v>
      </c>
      <c r="X179" s="5" t="s">
        <v>501</v>
      </c>
      <c r="Y179" s="4">
        <v>57</v>
      </c>
      <c r="AA179" t="s">
        <v>89</v>
      </c>
      <c r="AL179" t="s">
        <v>61</v>
      </c>
    </row>
    <row r="180" spans="1:38" x14ac:dyDescent="0.25">
      <c r="A180" s="4">
        <v>32</v>
      </c>
      <c r="B180" t="s">
        <v>137</v>
      </c>
      <c r="C180" t="s">
        <v>49</v>
      </c>
      <c r="D180" s="5" t="s">
        <v>50</v>
      </c>
      <c r="E180" t="s">
        <v>51</v>
      </c>
      <c r="F180" s="6">
        <v>45148</v>
      </c>
      <c r="G180" s="7">
        <v>0.60416666666666696</v>
      </c>
      <c r="H180" t="s">
        <v>49</v>
      </c>
      <c r="I180" s="5" t="s">
        <v>102</v>
      </c>
      <c r="J180" t="s">
        <v>103</v>
      </c>
      <c r="K180" s="6">
        <v>45148</v>
      </c>
      <c r="L180" s="23">
        <v>0.68055555555555503</v>
      </c>
      <c r="M180" s="5" t="s">
        <v>503</v>
      </c>
      <c r="N180" s="5" t="s">
        <v>69</v>
      </c>
      <c r="O180" s="8" t="s">
        <v>56</v>
      </c>
      <c r="Q180" t="s">
        <v>499</v>
      </c>
      <c r="R180" s="5" t="s">
        <v>500</v>
      </c>
      <c r="S180" s="9">
        <v>10</v>
      </c>
      <c r="T180" s="9">
        <v>5</v>
      </c>
      <c r="U180" s="9">
        <v>5</v>
      </c>
      <c r="V180" s="10">
        <f>Table1[[#This Row],[MARGIN '[€']]]/Table1[[#This Row],[SALES '[€']]]</f>
        <v>0.5</v>
      </c>
      <c r="W180" s="5">
        <v>9215166530</v>
      </c>
      <c r="X180" s="5" t="s">
        <v>501</v>
      </c>
      <c r="Y180" s="4">
        <v>57</v>
      </c>
      <c r="AA180" t="s">
        <v>89</v>
      </c>
      <c r="AL180" t="s">
        <v>61</v>
      </c>
    </row>
    <row r="181" spans="1:38" x14ac:dyDescent="0.25">
      <c r="A181" s="4">
        <v>32</v>
      </c>
      <c r="B181" t="s">
        <v>137</v>
      </c>
      <c r="C181" t="s">
        <v>49</v>
      </c>
      <c r="D181" s="5" t="s">
        <v>50</v>
      </c>
      <c r="E181" t="s">
        <v>51</v>
      </c>
      <c r="F181" s="6">
        <v>45148</v>
      </c>
      <c r="G181" s="7">
        <v>0.79166666666666696</v>
      </c>
      <c r="H181" t="s">
        <v>49</v>
      </c>
      <c r="I181" s="5" t="s">
        <v>102</v>
      </c>
      <c r="J181" t="s">
        <v>103</v>
      </c>
      <c r="K181" s="6">
        <v>45148</v>
      </c>
      <c r="L181" s="23">
        <v>0.85416666666666696</v>
      </c>
      <c r="M181" s="5" t="s">
        <v>504</v>
      </c>
      <c r="N181" s="5" t="s">
        <v>69</v>
      </c>
      <c r="O181" s="8" t="s">
        <v>56</v>
      </c>
      <c r="Q181" t="s">
        <v>499</v>
      </c>
      <c r="R181" s="5" t="s">
        <v>500</v>
      </c>
      <c r="S181" s="9">
        <v>10</v>
      </c>
      <c r="T181" s="9">
        <v>5</v>
      </c>
      <c r="U181" s="9">
        <v>5</v>
      </c>
      <c r="V181" s="10">
        <f>Table1[[#This Row],[MARGIN '[€']]]/Table1[[#This Row],[SALES '[€']]]</f>
        <v>0.5</v>
      </c>
      <c r="W181" s="5">
        <v>9215166531</v>
      </c>
      <c r="X181" s="5" t="s">
        <v>501</v>
      </c>
      <c r="Y181" s="4">
        <v>57</v>
      </c>
      <c r="AA181" t="s">
        <v>89</v>
      </c>
      <c r="AL181" t="s">
        <v>61</v>
      </c>
    </row>
    <row r="182" spans="1:38" x14ac:dyDescent="0.25">
      <c r="A182" s="4">
        <v>32</v>
      </c>
      <c r="B182" t="s">
        <v>48</v>
      </c>
      <c r="C182" t="s">
        <v>49</v>
      </c>
      <c r="D182" s="5" t="s">
        <v>102</v>
      </c>
      <c r="E182" t="s">
        <v>103</v>
      </c>
      <c r="F182" s="6">
        <v>45148</v>
      </c>
      <c r="G182" s="7">
        <v>0.375</v>
      </c>
      <c r="H182" t="s">
        <v>90</v>
      </c>
      <c r="I182" s="5" t="s">
        <v>304</v>
      </c>
      <c r="J182" t="s">
        <v>305</v>
      </c>
      <c r="K182" s="6">
        <v>45152</v>
      </c>
      <c r="L182" s="23">
        <v>0.72916666666666696</v>
      </c>
      <c r="M182" s="5">
        <v>119732</v>
      </c>
      <c r="N182" s="5" t="s">
        <v>55</v>
      </c>
      <c r="O182" s="8" t="s">
        <v>56</v>
      </c>
      <c r="Q182" t="s">
        <v>505</v>
      </c>
      <c r="R182" s="5" t="s">
        <v>307</v>
      </c>
      <c r="S182" s="9">
        <v>10</v>
      </c>
      <c r="T182" s="9">
        <v>5</v>
      </c>
      <c r="U182" s="9">
        <v>5</v>
      </c>
      <c r="V182" s="10">
        <f>Table1[[#This Row],[MARGIN '[€']]]/Table1[[#This Row],[SALES '[€']]]</f>
        <v>0.5</v>
      </c>
      <c r="W182" s="5">
        <v>9215166540</v>
      </c>
      <c r="X182" s="5" t="s">
        <v>506</v>
      </c>
      <c r="Y182" s="4">
        <v>621</v>
      </c>
      <c r="AA182" t="s">
        <v>89</v>
      </c>
      <c r="AL182" t="s">
        <v>61</v>
      </c>
    </row>
    <row r="183" spans="1:38" x14ac:dyDescent="0.25">
      <c r="A183" s="4">
        <v>32</v>
      </c>
      <c r="B183" t="s">
        <v>137</v>
      </c>
      <c r="C183" t="s">
        <v>49</v>
      </c>
      <c r="D183" s="5" t="s">
        <v>50</v>
      </c>
      <c r="E183" t="s">
        <v>51</v>
      </c>
      <c r="F183" s="6">
        <v>45148</v>
      </c>
      <c r="G183" s="7">
        <v>0.38888888888888901</v>
      </c>
      <c r="H183" t="s">
        <v>49</v>
      </c>
      <c r="I183" s="5" t="s">
        <v>102</v>
      </c>
      <c r="J183" t="s">
        <v>103</v>
      </c>
      <c r="K183" s="6">
        <v>45148</v>
      </c>
      <c r="L183" s="3">
        <v>0.47916666666666702</v>
      </c>
      <c r="M183" s="5" t="s">
        <v>507</v>
      </c>
      <c r="N183" s="5" t="s">
        <v>69</v>
      </c>
      <c r="O183" s="8" t="s">
        <v>56</v>
      </c>
      <c r="Q183" t="s">
        <v>311</v>
      </c>
      <c r="R183" s="5" t="s">
        <v>312</v>
      </c>
      <c r="S183" s="9">
        <v>10</v>
      </c>
      <c r="T183" s="9">
        <v>5</v>
      </c>
      <c r="U183" s="9">
        <v>5</v>
      </c>
      <c r="V183" s="10">
        <f>Table1[[#This Row],[MARGIN '[€']]]/Table1[[#This Row],[SALES '[€']]]</f>
        <v>0.5</v>
      </c>
      <c r="W183" s="5">
        <v>9215166537</v>
      </c>
      <c r="X183" s="5" t="s">
        <v>508</v>
      </c>
      <c r="Y183" s="4">
        <v>57</v>
      </c>
      <c r="AA183" t="s">
        <v>89</v>
      </c>
      <c r="AL183" t="s">
        <v>61</v>
      </c>
    </row>
    <row r="184" spans="1:38" x14ac:dyDescent="0.25">
      <c r="A184" s="4">
        <v>32</v>
      </c>
      <c r="B184" t="s">
        <v>48</v>
      </c>
      <c r="C184" t="s">
        <v>49</v>
      </c>
      <c r="D184" s="5" t="s">
        <v>102</v>
      </c>
      <c r="E184" t="s">
        <v>103</v>
      </c>
      <c r="F184" s="6">
        <v>45148</v>
      </c>
      <c r="G184" s="7">
        <v>0.6875</v>
      </c>
      <c r="H184" t="s">
        <v>49</v>
      </c>
      <c r="I184" s="5">
        <v>94</v>
      </c>
      <c r="J184" t="s">
        <v>110</v>
      </c>
      <c r="K184" s="6">
        <v>45152</v>
      </c>
      <c r="L184" s="23">
        <v>0.41666666666666702</v>
      </c>
      <c r="M184" s="5">
        <v>119856</v>
      </c>
      <c r="N184" s="5" t="s">
        <v>69</v>
      </c>
      <c r="O184" s="8" t="s">
        <v>56</v>
      </c>
      <c r="Q184" t="s">
        <v>509</v>
      </c>
      <c r="R184" s="5" t="s">
        <v>98</v>
      </c>
      <c r="S184" s="9">
        <v>10</v>
      </c>
      <c r="T184" s="9">
        <v>5</v>
      </c>
      <c r="U184" s="9">
        <v>5</v>
      </c>
      <c r="V184" s="10">
        <f>Table1[[#This Row],[MARGIN '[€']]]/Table1[[#This Row],[SALES '[€']]]</f>
        <v>0.5</v>
      </c>
      <c r="W184" s="5">
        <v>9215166563</v>
      </c>
      <c r="X184" s="5" t="s">
        <v>510</v>
      </c>
      <c r="Y184" s="4">
        <v>345</v>
      </c>
      <c r="AA184" t="s">
        <v>89</v>
      </c>
      <c r="AL184" t="s">
        <v>61</v>
      </c>
    </row>
    <row r="185" spans="1:38" x14ac:dyDescent="0.25">
      <c r="A185" s="4">
        <v>32</v>
      </c>
      <c r="B185" t="s">
        <v>333</v>
      </c>
      <c r="C185" t="s">
        <v>49</v>
      </c>
      <c r="D185" s="5" t="s">
        <v>334</v>
      </c>
      <c r="E185" t="s">
        <v>335</v>
      </c>
      <c r="F185" s="6">
        <v>45149</v>
      </c>
      <c r="G185" s="7">
        <v>0.79166666666666696</v>
      </c>
      <c r="H185" t="s">
        <v>138</v>
      </c>
      <c r="I185" s="5">
        <v>13</v>
      </c>
      <c r="J185" t="s">
        <v>401</v>
      </c>
      <c r="K185" s="6">
        <v>45154</v>
      </c>
      <c r="L185" s="23">
        <v>0.375</v>
      </c>
      <c r="M185" s="5">
        <v>1002926658</v>
      </c>
      <c r="N185" s="5" t="s">
        <v>337</v>
      </c>
      <c r="O185" s="8" t="s">
        <v>338</v>
      </c>
      <c r="P185" t="s">
        <v>511</v>
      </c>
      <c r="Q185" t="s">
        <v>512</v>
      </c>
      <c r="R185" s="5" t="s">
        <v>513</v>
      </c>
      <c r="S185" s="9">
        <v>10</v>
      </c>
      <c r="T185" s="9">
        <v>5</v>
      </c>
      <c r="U185" s="9">
        <v>5</v>
      </c>
      <c r="V185" s="10">
        <f>Table1[[#This Row],[MARGIN '[€']]]/Table1[[#This Row],[SALES '[€']]]</f>
        <v>0.5</v>
      </c>
      <c r="W185" s="5" t="s">
        <v>514</v>
      </c>
      <c r="X185" s="5" t="s">
        <v>515</v>
      </c>
      <c r="Y185" s="4">
        <v>1860</v>
      </c>
      <c r="Z185" t="s">
        <v>339</v>
      </c>
      <c r="AA185" t="s">
        <v>163</v>
      </c>
      <c r="AL185" t="s">
        <v>61</v>
      </c>
    </row>
    <row r="186" spans="1:38" x14ac:dyDescent="0.25">
      <c r="A186" s="4">
        <v>32</v>
      </c>
      <c r="B186" t="s">
        <v>48</v>
      </c>
      <c r="C186" t="s">
        <v>49</v>
      </c>
      <c r="D186" s="5" t="s">
        <v>102</v>
      </c>
      <c r="E186" t="s">
        <v>103</v>
      </c>
      <c r="F186" s="6">
        <v>45149</v>
      </c>
      <c r="G186" s="7">
        <v>0.40625</v>
      </c>
      <c r="H186" t="s">
        <v>90</v>
      </c>
      <c r="I186" s="5">
        <v>23</v>
      </c>
      <c r="J186" t="s">
        <v>133</v>
      </c>
      <c r="K186" s="6">
        <v>45152</v>
      </c>
      <c r="L186" s="23">
        <v>0.375</v>
      </c>
      <c r="M186" s="5">
        <v>119735</v>
      </c>
      <c r="N186" s="5" t="s">
        <v>69</v>
      </c>
      <c r="O186" s="8" t="s">
        <v>56</v>
      </c>
      <c r="P186" t="s">
        <v>76</v>
      </c>
      <c r="Q186" t="s">
        <v>516</v>
      </c>
      <c r="R186" s="5" t="s">
        <v>356</v>
      </c>
      <c r="S186" s="9">
        <v>10</v>
      </c>
      <c r="T186" s="9">
        <v>5</v>
      </c>
      <c r="U186" s="9">
        <v>5</v>
      </c>
      <c r="V186" s="10">
        <f>Table1[[#This Row],[MARGIN '[€']]]/Table1[[#This Row],[SALES '[€']]]</f>
        <v>0.5</v>
      </c>
      <c r="W186" s="5" t="s">
        <v>517</v>
      </c>
      <c r="X186" s="5" t="s">
        <v>518</v>
      </c>
      <c r="Y186" s="4">
        <v>483</v>
      </c>
      <c r="AA186" t="s">
        <v>89</v>
      </c>
      <c r="AL186" t="s">
        <v>61</v>
      </c>
    </row>
    <row r="187" spans="1:38" x14ac:dyDescent="0.25">
      <c r="A187" s="4">
        <v>32</v>
      </c>
      <c r="B187" t="s">
        <v>48</v>
      </c>
      <c r="C187" t="s">
        <v>49</v>
      </c>
      <c r="D187" s="5" t="s">
        <v>50</v>
      </c>
      <c r="E187" t="s">
        <v>51</v>
      </c>
      <c r="F187" s="6">
        <v>45149</v>
      </c>
      <c r="G187" s="7">
        <v>0.20833333333333301</v>
      </c>
      <c r="H187" t="s">
        <v>90</v>
      </c>
      <c r="I187" s="5">
        <v>24</v>
      </c>
      <c r="J187" t="s">
        <v>92</v>
      </c>
      <c r="K187" s="6">
        <v>45149</v>
      </c>
      <c r="L187" s="23">
        <v>0.62152777777777801</v>
      </c>
      <c r="M187" s="5">
        <v>119652</v>
      </c>
      <c r="N187" s="5" t="s">
        <v>69</v>
      </c>
      <c r="O187" s="8" t="s">
        <v>56</v>
      </c>
      <c r="Q187" t="s">
        <v>519</v>
      </c>
      <c r="R187" s="5" t="s">
        <v>94</v>
      </c>
      <c r="S187" s="9">
        <v>10</v>
      </c>
      <c r="T187" s="9">
        <v>5</v>
      </c>
      <c r="U187" s="9">
        <v>5</v>
      </c>
      <c r="V187" s="10">
        <f>Table1[[#This Row],[MARGIN '[€']]]/Table1[[#This Row],[SALES '[€']]]</f>
        <v>0.5</v>
      </c>
      <c r="W187" s="5">
        <v>9215166548</v>
      </c>
      <c r="X187" s="5" t="s">
        <v>520</v>
      </c>
      <c r="Y187" s="4">
        <v>441</v>
      </c>
      <c r="Z187" t="s">
        <v>521</v>
      </c>
      <c r="AA187" t="s">
        <v>60</v>
      </c>
      <c r="AL187" t="s">
        <v>61</v>
      </c>
    </row>
    <row r="188" spans="1:38" x14ac:dyDescent="0.25">
      <c r="A188" s="4">
        <v>32</v>
      </c>
      <c r="B188" t="s">
        <v>48</v>
      </c>
      <c r="C188" t="s">
        <v>49</v>
      </c>
      <c r="D188" s="5" t="s">
        <v>50</v>
      </c>
      <c r="E188" t="s">
        <v>51</v>
      </c>
      <c r="F188" s="6">
        <v>45149</v>
      </c>
      <c r="G188" s="7">
        <v>0.22916666666666699</v>
      </c>
      <c r="H188" t="s">
        <v>90</v>
      </c>
      <c r="I188" s="5">
        <v>24</v>
      </c>
      <c r="J188" t="s">
        <v>92</v>
      </c>
      <c r="K188" s="6">
        <v>45149</v>
      </c>
      <c r="L188" s="23">
        <v>0.55902777777777801</v>
      </c>
      <c r="M188" s="5">
        <v>119653</v>
      </c>
      <c r="N188" s="5" t="s">
        <v>69</v>
      </c>
      <c r="O188" s="8" t="s">
        <v>56</v>
      </c>
      <c r="P188" t="s">
        <v>76</v>
      </c>
      <c r="Q188" t="s">
        <v>522</v>
      </c>
      <c r="R188" s="5" t="s">
        <v>98</v>
      </c>
      <c r="S188" s="9">
        <v>10</v>
      </c>
      <c r="T188" s="9">
        <v>5</v>
      </c>
      <c r="U188" s="9">
        <v>5</v>
      </c>
      <c r="V188" s="10">
        <f>Table1[[#This Row],[MARGIN '[€']]]/Table1[[#This Row],[SALES '[€']]]</f>
        <v>0.5</v>
      </c>
      <c r="W188" s="5" t="s">
        <v>523</v>
      </c>
      <c r="X188" s="5" t="s">
        <v>524</v>
      </c>
      <c r="Y188" s="4">
        <v>441</v>
      </c>
      <c r="Z188" t="s">
        <v>525</v>
      </c>
      <c r="AA188" t="s">
        <v>60</v>
      </c>
      <c r="AL188" t="s">
        <v>61</v>
      </c>
    </row>
    <row r="189" spans="1:38" x14ac:dyDescent="0.25">
      <c r="A189" s="4">
        <v>32</v>
      </c>
      <c r="B189" t="s">
        <v>48</v>
      </c>
      <c r="C189" t="s">
        <v>49</v>
      </c>
      <c r="D189" s="5" t="s">
        <v>50</v>
      </c>
      <c r="E189" t="s">
        <v>51</v>
      </c>
      <c r="F189" s="6">
        <v>45149</v>
      </c>
      <c r="G189" s="7">
        <v>0.25</v>
      </c>
      <c r="H189" t="s">
        <v>90</v>
      </c>
      <c r="I189" s="5">
        <v>24</v>
      </c>
      <c r="J189" t="s">
        <v>92</v>
      </c>
      <c r="K189" s="6">
        <v>45149</v>
      </c>
      <c r="L189" s="23">
        <v>0.68402777777777801</v>
      </c>
      <c r="M189" s="5">
        <v>119655</v>
      </c>
      <c r="N189" s="5" t="s">
        <v>69</v>
      </c>
      <c r="O189" s="8" t="s">
        <v>56</v>
      </c>
      <c r="Q189" t="s">
        <v>526</v>
      </c>
      <c r="R189" s="5" t="s">
        <v>98</v>
      </c>
      <c r="S189" s="9">
        <v>10</v>
      </c>
      <c r="T189" s="9">
        <v>5</v>
      </c>
      <c r="U189" s="9">
        <v>5</v>
      </c>
      <c r="V189" s="10">
        <f>Table1[[#This Row],[MARGIN '[€']]]/Table1[[#This Row],[SALES '[€']]]</f>
        <v>0.5</v>
      </c>
      <c r="W189" s="5">
        <v>9215166549</v>
      </c>
      <c r="X189" s="5" t="s">
        <v>527</v>
      </c>
      <c r="Y189" s="4">
        <v>441</v>
      </c>
      <c r="Z189" t="s">
        <v>528</v>
      </c>
      <c r="AA189" t="s">
        <v>60</v>
      </c>
      <c r="AL189" t="s">
        <v>61</v>
      </c>
    </row>
    <row r="190" spans="1:38" x14ac:dyDescent="0.25">
      <c r="A190" s="4">
        <v>32</v>
      </c>
      <c r="B190" t="s">
        <v>48</v>
      </c>
      <c r="C190" t="s">
        <v>49</v>
      </c>
      <c r="D190" s="5" t="s">
        <v>50</v>
      </c>
      <c r="E190" t="s">
        <v>51</v>
      </c>
      <c r="F190" s="6">
        <v>45149</v>
      </c>
      <c r="G190" s="7">
        <v>0.14583333333333301</v>
      </c>
      <c r="H190" t="s">
        <v>49</v>
      </c>
      <c r="I190" s="5">
        <v>94</v>
      </c>
      <c r="J190" t="s">
        <v>110</v>
      </c>
      <c r="K190" s="6">
        <v>45149</v>
      </c>
      <c r="L190" s="23">
        <v>0.41666666666666702</v>
      </c>
      <c r="M190" s="5">
        <v>119699</v>
      </c>
      <c r="N190" s="5" t="s">
        <v>69</v>
      </c>
      <c r="O190" s="8" t="s">
        <v>56</v>
      </c>
      <c r="Q190" t="s">
        <v>111</v>
      </c>
      <c r="R190" s="5" t="s">
        <v>112</v>
      </c>
      <c r="S190" s="9">
        <v>10</v>
      </c>
      <c r="T190" s="9">
        <v>5</v>
      </c>
      <c r="U190" s="9">
        <v>5</v>
      </c>
      <c r="V190" s="10">
        <f>Table1[[#This Row],[MARGIN '[€']]]/Table1[[#This Row],[SALES '[€']]]</f>
        <v>0.5</v>
      </c>
      <c r="W190" s="5">
        <v>9215166526</v>
      </c>
      <c r="X190" s="5" t="s">
        <v>529</v>
      </c>
      <c r="Y190" s="4">
        <v>345</v>
      </c>
      <c r="AA190" t="s">
        <v>89</v>
      </c>
      <c r="AL190" t="s">
        <v>61</v>
      </c>
    </row>
    <row r="191" spans="1:38" x14ac:dyDescent="0.25">
      <c r="A191" s="4">
        <v>32</v>
      </c>
      <c r="B191" t="s">
        <v>137</v>
      </c>
      <c r="C191" t="s">
        <v>49</v>
      </c>
      <c r="D191" s="5" t="s">
        <v>50</v>
      </c>
      <c r="E191" t="s">
        <v>51</v>
      </c>
      <c r="F191" s="6">
        <v>45149</v>
      </c>
      <c r="G191" s="7">
        <v>0.33333333333333298</v>
      </c>
      <c r="H191" t="s">
        <v>49</v>
      </c>
      <c r="I191" s="5" t="s">
        <v>102</v>
      </c>
      <c r="J191" t="s">
        <v>103</v>
      </c>
      <c r="K191" s="6">
        <v>45149</v>
      </c>
      <c r="L191" s="23">
        <v>0.39583333333333298</v>
      </c>
      <c r="M191" s="5" t="s">
        <v>530</v>
      </c>
      <c r="N191" s="5" t="s">
        <v>69</v>
      </c>
      <c r="O191" s="8" t="s">
        <v>56</v>
      </c>
      <c r="Q191" t="s">
        <v>499</v>
      </c>
      <c r="R191" s="5" t="s">
        <v>500</v>
      </c>
      <c r="S191" s="9">
        <v>10</v>
      </c>
      <c r="T191" s="9">
        <v>5</v>
      </c>
      <c r="U191" s="9">
        <v>5</v>
      </c>
      <c r="V191" s="10">
        <f>Table1[[#This Row],[MARGIN '[€']]]/Table1[[#This Row],[SALES '[€']]]</f>
        <v>0.5</v>
      </c>
      <c r="W191" s="5">
        <v>9215166554</v>
      </c>
      <c r="X191" s="5" t="s">
        <v>531</v>
      </c>
      <c r="Y191" s="4">
        <v>57</v>
      </c>
      <c r="AA191" t="s">
        <v>89</v>
      </c>
      <c r="AL191" t="s">
        <v>61</v>
      </c>
    </row>
    <row r="192" spans="1:38" x14ac:dyDescent="0.25">
      <c r="A192" s="4">
        <v>32</v>
      </c>
      <c r="B192" t="s">
        <v>137</v>
      </c>
      <c r="C192" t="s">
        <v>49</v>
      </c>
      <c r="D192" s="5" t="s">
        <v>50</v>
      </c>
      <c r="E192" t="s">
        <v>51</v>
      </c>
      <c r="F192" s="6">
        <v>45149</v>
      </c>
      <c r="G192" s="7">
        <v>0.45833333333333298</v>
      </c>
      <c r="H192" t="s">
        <v>49</v>
      </c>
      <c r="I192" s="5" t="s">
        <v>102</v>
      </c>
      <c r="J192" t="s">
        <v>103</v>
      </c>
      <c r="K192" s="6">
        <v>45149</v>
      </c>
      <c r="L192" s="23">
        <v>0.52083333333333304</v>
      </c>
      <c r="M192" s="5" t="s">
        <v>532</v>
      </c>
      <c r="N192" s="5" t="s">
        <v>69</v>
      </c>
      <c r="O192" s="8" t="s">
        <v>56</v>
      </c>
      <c r="Q192" t="s">
        <v>499</v>
      </c>
      <c r="R192" s="5" t="s">
        <v>500</v>
      </c>
      <c r="S192" s="9">
        <v>10</v>
      </c>
      <c r="T192" s="9">
        <v>5</v>
      </c>
      <c r="U192" s="9">
        <v>5</v>
      </c>
      <c r="V192" s="10">
        <f>Table1[[#This Row],[MARGIN '[€']]]/Table1[[#This Row],[SALES '[€']]]</f>
        <v>0.5</v>
      </c>
      <c r="W192" s="5">
        <v>9215166555</v>
      </c>
      <c r="X192" s="5" t="s">
        <v>531</v>
      </c>
      <c r="Y192" s="4">
        <v>57</v>
      </c>
      <c r="AA192" t="s">
        <v>89</v>
      </c>
      <c r="AL192" t="s">
        <v>61</v>
      </c>
    </row>
    <row r="193" spans="1:40" x14ac:dyDescent="0.25">
      <c r="A193" s="4">
        <v>32</v>
      </c>
      <c r="B193" t="s">
        <v>137</v>
      </c>
      <c r="C193" t="s">
        <v>49</v>
      </c>
      <c r="D193" s="5" t="s">
        <v>50</v>
      </c>
      <c r="E193" t="s">
        <v>51</v>
      </c>
      <c r="F193" s="6">
        <v>45149</v>
      </c>
      <c r="G193" s="7">
        <v>0.60416666666666696</v>
      </c>
      <c r="H193" t="s">
        <v>49</v>
      </c>
      <c r="I193" s="5" t="s">
        <v>102</v>
      </c>
      <c r="J193" t="s">
        <v>103</v>
      </c>
      <c r="K193" s="6">
        <v>45149</v>
      </c>
      <c r="L193" s="23">
        <v>0.68055555555555503</v>
      </c>
      <c r="M193" s="5" t="s">
        <v>533</v>
      </c>
      <c r="N193" s="5" t="s">
        <v>69</v>
      </c>
      <c r="O193" s="8" t="s">
        <v>56</v>
      </c>
      <c r="Q193" t="s">
        <v>499</v>
      </c>
      <c r="R193" s="5" t="s">
        <v>500</v>
      </c>
      <c r="S193" s="9">
        <v>10</v>
      </c>
      <c r="T193" s="9">
        <v>5</v>
      </c>
      <c r="U193" s="9">
        <v>5</v>
      </c>
      <c r="V193" s="10">
        <f>Table1[[#This Row],[MARGIN '[€']]]/Table1[[#This Row],[SALES '[€']]]</f>
        <v>0.5</v>
      </c>
      <c r="W193" s="5">
        <v>9215166557</v>
      </c>
      <c r="X193" s="5" t="s">
        <v>531</v>
      </c>
      <c r="Y193" s="4">
        <v>57</v>
      </c>
      <c r="AA193" t="s">
        <v>89</v>
      </c>
      <c r="AL193" t="s">
        <v>61</v>
      </c>
    </row>
    <row r="194" spans="1:40" x14ac:dyDescent="0.25">
      <c r="A194" s="4">
        <v>32</v>
      </c>
      <c r="B194" t="s">
        <v>137</v>
      </c>
      <c r="C194" t="s">
        <v>49</v>
      </c>
      <c r="D194" s="5" t="s">
        <v>50</v>
      </c>
      <c r="E194" t="s">
        <v>51</v>
      </c>
      <c r="F194" s="6">
        <v>45149</v>
      </c>
      <c r="G194" s="7">
        <v>0.79166666666666696</v>
      </c>
      <c r="H194" t="s">
        <v>49</v>
      </c>
      <c r="I194" s="5" t="s">
        <v>102</v>
      </c>
      <c r="J194" t="s">
        <v>103</v>
      </c>
      <c r="K194" s="6">
        <v>45149</v>
      </c>
      <c r="L194" s="23">
        <v>0.85416666666666696</v>
      </c>
      <c r="M194" s="5" t="s">
        <v>534</v>
      </c>
      <c r="N194" s="5" t="s">
        <v>69</v>
      </c>
      <c r="O194" s="8" t="s">
        <v>56</v>
      </c>
      <c r="Q194" t="s">
        <v>499</v>
      </c>
      <c r="R194" s="5" t="s">
        <v>500</v>
      </c>
      <c r="S194" s="9">
        <v>10</v>
      </c>
      <c r="T194" s="9">
        <v>5</v>
      </c>
      <c r="U194" s="9">
        <v>5</v>
      </c>
      <c r="V194" s="10">
        <f>Table1[[#This Row],[MARGIN '[€']]]/Table1[[#This Row],[SALES '[€']]]</f>
        <v>0.5</v>
      </c>
      <c r="W194" s="5">
        <v>9215166558</v>
      </c>
      <c r="X194" s="5" t="s">
        <v>531</v>
      </c>
      <c r="Y194" s="4">
        <v>57</v>
      </c>
      <c r="AA194" t="s">
        <v>89</v>
      </c>
      <c r="AL194" t="s">
        <v>61</v>
      </c>
    </row>
    <row r="195" spans="1:40" x14ac:dyDescent="0.25">
      <c r="A195" s="4">
        <v>32</v>
      </c>
      <c r="B195" t="s">
        <v>48</v>
      </c>
      <c r="C195" t="s">
        <v>49</v>
      </c>
      <c r="D195" s="5" t="s">
        <v>50</v>
      </c>
      <c r="E195" t="s">
        <v>51</v>
      </c>
      <c r="F195" s="6">
        <v>45149</v>
      </c>
      <c r="G195" s="7">
        <v>0.29166666666666702</v>
      </c>
      <c r="H195" t="s">
        <v>90</v>
      </c>
      <c r="I195" s="5">
        <v>24</v>
      </c>
      <c r="J195" t="s">
        <v>92</v>
      </c>
      <c r="K195" s="6">
        <v>45149</v>
      </c>
      <c r="L195" s="23">
        <v>0.74652777777777801</v>
      </c>
      <c r="M195" s="5">
        <v>119656</v>
      </c>
      <c r="N195" s="5" t="s">
        <v>69</v>
      </c>
      <c r="O195" s="8" t="s">
        <v>56</v>
      </c>
      <c r="Q195" t="s">
        <v>206</v>
      </c>
      <c r="R195" s="5" t="s">
        <v>207</v>
      </c>
      <c r="S195" s="9">
        <v>10</v>
      </c>
      <c r="T195" s="9">
        <v>5</v>
      </c>
      <c r="U195" s="9">
        <v>5</v>
      </c>
      <c r="V195" s="10">
        <f>Table1[[#This Row],[MARGIN '[€']]]/Table1[[#This Row],[SALES '[€']]]</f>
        <v>0.5</v>
      </c>
      <c r="W195" s="5">
        <v>9215166550</v>
      </c>
      <c r="X195" s="5" t="s">
        <v>535</v>
      </c>
      <c r="Y195" s="4">
        <v>441</v>
      </c>
      <c r="Z195" t="s">
        <v>536</v>
      </c>
      <c r="AA195" t="s">
        <v>60</v>
      </c>
      <c r="AL195" t="s">
        <v>61</v>
      </c>
    </row>
    <row r="196" spans="1:40" x14ac:dyDescent="0.25">
      <c r="A196" s="4">
        <v>32</v>
      </c>
      <c r="B196" t="s">
        <v>48</v>
      </c>
      <c r="C196" t="s">
        <v>49</v>
      </c>
      <c r="D196" s="5" t="s">
        <v>102</v>
      </c>
      <c r="E196" t="s">
        <v>103</v>
      </c>
      <c r="F196" s="6">
        <v>45149</v>
      </c>
      <c r="G196" s="7">
        <v>0.46875</v>
      </c>
      <c r="H196" t="s">
        <v>49</v>
      </c>
      <c r="I196" s="5">
        <v>94</v>
      </c>
      <c r="J196" t="s">
        <v>110</v>
      </c>
      <c r="K196" s="6">
        <v>45152</v>
      </c>
      <c r="L196" s="23">
        <v>0.29166666666666702</v>
      </c>
      <c r="M196" s="5">
        <v>119854</v>
      </c>
      <c r="N196" s="5" t="s">
        <v>69</v>
      </c>
      <c r="O196" s="8" t="s">
        <v>56</v>
      </c>
      <c r="Q196" t="s">
        <v>360</v>
      </c>
      <c r="R196" s="5" t="s">
        <v>266</v>
      </c>
      <c r="S196" s="9">
        <v>10</v>
      </c>
      <c r="T196" s="9">
        <v>5</v>
      </c>
      <c r="U196" s="9">
        <v>5</v>
      </c>
      <c r="V196" s="10">
        <f>Table1[[#This Row],[MARGIN '[€']]]/Table1[[#This Row],[SALES '[€']]]</f>
        <v>0.5</v>
      </c>
      <c r="W196" s="5">
        <v>9215166564</v>
      </c>
      <c r="X196" s="5" t="s">
        <v>537</v>
      </c>
      <c r="Y196" s="4">
        <v>345</v>
      </c>
      <c r="AA196" t="s">
        <v>89</v>
      </c>
      <c r="AL196" t="s">
        <v>61</v>
      </c>
    </row>
    <row r="197" spans="1:40" x14ac:dyDescent="0.25">
      <c r="A197" s="4">
        <v>32</v>
      </c>
      <c r="B197" t="s">
        <v>48</v>
      </c>
      <c r="C197" t="s">
        <v>49</v>
      </c>
      <c r="D197" s="5" t="s">
        <v>102</v>
      </c>
      <c r="E197" t="s">
        <v>103</v>
      </c>
      <c r="F197" s="6">
        <v>45149</v>
      </c>
      <c r="G197" s="7">
        <v>0.875</v>
      </c>
      <c r="H197" t="s">
        <v>49</v>
      </c>
      <c r="I197" s="5">
        <v>94</v>
      </c>
      <c r="J197" t="s">
        <v>110</v>
      </c>
      <c r="K197" s="6">
        <v>45152</v>
      </c>
      <c r="L197" s="23">
        <v>0.375</v>
      </c>
      <c r="M197" s="5">
        <v>119855</v>
      </c>
      <c r="N197" s="5" t="s">
        <v>69</v>
      </c>
      <c r="O197" s="8" t="s">
        <v>56</v>
      </c>
      <c r="Q197" t="s">
        <v>499</v>
      </c>
      <c r="R197" s="5" t="s">
        <v>500</v>
      </c>
      <c r="S197" s="9">
        <v>10</v>
      </c>
      <c r="T197" s="9">
        <v>5</v>
      </c>
      <c r="U197" s="9">
        <v>5</v>
      </c>
      <c r="V197" s="10">
        <f>Table1[[#This Row],[MARGIN '[€']]]/Table1[[#This Row],[SALES '[€']]]</f>
        <v>0.5</v>
      </c>
      <c r="W197" s="5">
        <v>9215166571</v>
      </c>
      <c r="X197" s="5" t="s">
        <v>538</v>
      </c>
      <c r="Y197" s="4">
        <v>345</v>
      </c>
      <c r="AA197" t="s">
        <v>89</v>
      </c>
      <c r="AL197" t="s">
        <v>61</v>
      </c>
    </row>
    <row r="198" spans="1:40" x14ac:dyDescent="0.25">
      <c r="A198" s="4">
        <v>32</v>
      </c>
      <c r="B198" t="s">
        <v>137</v>
      </c>
      <c r="C198" t="s">
        <v>49</v>
      </c>
      <c r="D198" s="5" t="s">
        <v>50</v>
      </c>
      <c r="E198" t="s">
        <v>51</v>
      </c>
      <c r="F198" s="6">
        <v>45149</v>
      </c>
      <c r="G198" s="7">
        <v>0.70833333333333304</v>
      </c>
      <c r="H198" t="s">
        <v>49</v>
      </c>
      <c r="I198" s="5" t="s">
        <v>102</v>
      </c>
      <c r="J198" t="s">
        <v>103</v>
      </c>
      <c r="K198" s="6">
        <v>45152</v>
      </c>
      <c r="L198" s="23">
        <v>0.41666666666666702</v>
      </c>
      <c r="M198" s="5" t="s">
        <v>539</v>
      </c>
      <c r="N198" s="5" t="s">
        <v>69</v>
      </c>
      <c r="O198" s="8" t="s">
        <v>56</v>
      </c>
      <c r="Q198" t="s">
        <v>117</v>
      </c>
      <c r="R198" s="5" t="s">
        <v>118</v>
      </c>
      <c r="S198" s="9">
        <v>10</v>
      </c>
      <c r="T198" s="9">
        <v>5</v>
      </c>
      <c r="U198" s="9">
        <v>5</v>
      </c>
      <c r="V198" s="10">
        <f>Table1[[#This Row],[MARGIN '[€']]]/Table1[[#This Row],[SALES '[€']]]</f>
        <v>0.5</v>
      </c>
      <c r="W198" s="5">
        <v>9215166582</v>
      </c>
      <c r="X198" s="5" t="s">
        <v>540</v>
      </c>
      <c r="Y198" s="4">
        <v>57</v>
      </c>
      <c r="AA198" t="s">
        <v>89</v>
      </c>
      <c r="AL198" t="s">
        <v>61</v>
      </c>
    </row>
    <row r="199" spans="1:40" x14ac:dyDescent="0.25">
      <c r="A199" s="4">
        <v>32</v>
      </c>
      <c r="B199" t="s">
        <v>137</v>
      </c>
      <c r="C199" t="s">
        <v>49</v>
      </c>
      <c r="D199" s="5" t="s">
        <v>50</v>
      </c>
      <c r="E199" t="s">
        <v>51</v>
      </c>
      <c r="F199" s="6">
        <v>45150</v>
      </c>
      <c r="G199" s="7">
        <v>0.29166666666666702</v>
      </c>
      <c r="H199" t="s">
        <v>138</v>
      </c>
      <c r="I199" s="5" t="s">
        <v>139</v>
      </c>
      <c r="J199" t="s">
        <v>140</v>
      </c>
      <c r="K199" s="6">
        <v>45154</v>
      </c>
      <c r="L199" s="23">
        <v>0.243055555555556</v>
      </c>
      <c r="M199" s="5" t="s">
        <v>541</v>
      </c>
      <c r="N199" s="5" t="s">
        <v>142</v>
      </c>
      <c r="O199" s="8" t="s">
        <v>56</v>
      </c>
      <c r="P199" t="s">
        <v>143</v>
      </c>
      <c r="Q199" t="s">
        <v>542</v>
      </c>
      <c r="R199" s="5" t="s">
        <v>145</v>
      </c>
      <c r="S199" s="9">
        <v>10</v>
      </c>
      <c r="T199" s="9">
        <v>5</v>
      </c>
      <c r="U199" s="9">
        <v>5</v>
      </c>
      <c r="V199" s="10">
        <f>Table1[[#This Row],[MARGIN '[€']]]/Table1[[#This Row],[SALES '[€']]]</f>
        <v>0.5</v>
      </c>
      <c r="W199" s="5">
        <v>9215166570</v>
      </c>
      <c r="X199" s="5" t="s">
        <v>543</v>
      </c>
      <c r="Y199" s="4">
        <v>1360</v>
      </c>
      <c r="AA199" t="s">
        <v>60</v>
      </c>
      <c r="AL199" t="s">
        <v>61</v>
      </c>
    </row>
    <row r="200" spans="1:40" x14ac:dyDescent="0.25">
      <c r="A200" s="4">
        <v>32</v>
      </c>
      <c r="B200" t="s">
        <v>48</v>
      </c>
      <c r="C200" t="s">
        <v>49</v>
      </c>
      <c r="D200" s="5" t="s">
        <v>50</v>
      </c>
      <c r="E200" t="s">
        <v>51</v>
      </c>
      <c r="F200" s="6">
        <v>45151</v>
      </c>
      <c r="G200" s="7">
        <v>0.90277777777777801</v>
      </c>
      <c r="H200" t="s">
        <v>90</v>
      </c>
      <c r="I200" s="5">
        <v>23</v>
      </c>
      <c r="J200" t="s">
        <v>133</v>
      </c>
      <c r="K200" s="6">
        <v>45152</v>
      </c>
      <c r="L200" s="23">
        <v>0.29166666666666702</v>
      </c>
      <c r="M200" s="5">
        <v>119733</v>
      </c>
      <c r="N200" s="5" t="s">
        <v>69</v>
      </c>
      <c r="O200" s="8" t="s">
        <v>56</v>
      </c>
      <c r="Q200" t="s">
        <v>408</v>
      </c>
      <c r="R200" s="5" t="s">
        <v>94</v>
      </c>
      <c r="S200" s="9">
        <v>10</v>
      </c>
      <c r="T200" s="9">
        <v>5</v>
      </c>
      <c r="U200" s="9">
        <v>5</v>
      </c>
      <c r="V200" s="10">
        <f>Table1[[#This Row],[MARGIN '[€']]]/Table1[[#This Row],[SALES '[€']]]</f>
        <v>0.5</v>
      </c>
      <c r="W200" s="5">
        <v>9215166568</v>
      </c>
      <c r="X200" s="5" t="s">
        <v>544</v>
      </c>
      <c r="Y200" s="4">
        <v>483</v>
      </c>
      <c r="AA200" t="s">
        <v>89</v>
      </c>
      <c r="AL200" t="s">
        <v>61</v>
      </c>
    </row>
    <row r="201" spans="1:40" x14ac:dyDescent="0.25">
      <c r="A201" s="4">
        <v>32</v>
      </c>
      <c r="B201" t="s">
        <v>48</v>
      </c>
      <c r="C201" t="s">
        <v>49</v>
      </c>
      <c r="D201" s="5" t="s">
        <v>50</v>
      </c>
      <c r="E201" t="s">
        <v>51</v>
      </c>
      <c r="F201" s="6">
        <v>45151</v>
      </c>
      <c r="G201" s="7">
        <v>0.95833333333333304</v>
      </c>
      <c r="H201" t="s">
        <v>90</v>
      </c>
      <c r="I201" s="5">
        <v>23</v>
      </c>
      <c r="J201" t="s">
        <v>133</v>
      </c>
      <c r="K201" s="6">
        <v>45152</v>
      </c>
      <c r="L201" s="23">
        <v>0.33333333333333298</v>
      </c>
      <c r="M201" s="5">
        <v>119734</v>
      </c>
      <c r="N201" s="5" t="s">
        <v>69</v>
      </c>
      <c r="O201" s="8" t="s">
        <v>56</v>
      </c>
      <c r="Q201" t="s">
        <v>545</v>
      </c>
      <c r="R201" s="5" t="s">
        <v>94</v>
      </c>
      <c r="S201" s="9">
        <v>10</v>
      </c>
      <c r="T201" s="9">
        <v>5</v>
      </c>
      <c r="U201" s="9">
        <v>5</v>
      </c>
      <c r="V201" s="10">
        <f>Table1[[#This Row],[MARGIN '[€']]]/Table1[[#This Row],[SALES '[€']]]</f>
        <v>0.5</v>
      </c>
      <c r="W201" s="5">
        <v>9215166569</v>
      </c>
      <c r="X201" s="5" t="s">
        <v>546</v>
      </c>
      <c r="Y201" s="4">
        <v>483</v>
      </c>
      <c r="AA201" t="s">
        <v>89</v>
      </c>
      <c r="AL201" t="s">
        <v>61</v>
      </c>
    </row>
    <row r="202" spans="1:40" x14ac:dyDescent="0.25">
      <c r="A202" s="4">
        <v>32</v>
      </c>
      <c r="B202" t="s">
        <v>48</v>
      </c>
      <c r="C202" t="s">
        <v>49</v>
      </c>
      <c r="D202" s="5" t="s">
        <v>50</v>
      </c>
      <c r="E202" t="s">
        <v>51</v>
      </c>
      <c r="F202" s="6">
        <v>45151</v>
      </c>
      <c r="G202" s="7">
        <v>0.97916666666666696</v>
      </c>
      <c r="H202" t="s">
        <v>90</v>
      </c>
      <c r="I202" s="5">
        <v>24</v>
      </c>
      <c r="J202" t="s">
        <v>92</v>
      </c>
      <c r="K202" s="6">
        <v>45152</v>
      </c>
      <c r="L202" s="23">
        <v>0.30902777777777801</v>
      </c>
      <c r="M202" s="5">
        <v>119623</v>
      </c>
      <c r="N202" s="5" t="s">
        <v>69</v>
      </c>
      <c r="O202" s="8" t="s">
        <v>56</v>
      </c>
      <c r="Q202" t="s">
        <v>547</v>
      </c>
      <c r="R202" s="5" t="s">
        <v>98</v>
      </c>
      <c r="S202" s="9">
        <v>10</v>
      </c>
      <c r="T202" s="9">
        <v>5</v>
      </c>
      <c r="U202" s="9">
        <v>5</v>
      </c>
      <c r="V202" s="10">
        <f>Table1[[#This Row],[MARGIN '[€']]]/Table1[[#This Row],[SALES '[€']]]</f>
        <v>0.5</v>
      </c>
      <c r="W202" s="5">
        <v>9215166560</v>
      </c>
      <c r="X202" s="5" t="s">
        <v>548</v>
      </c>
      <c r="Y202" s="4">
        <v>441</v>
      </c>
      <c r="Z202" t="s">
        <v>549</v>
      </c>
      <c r="AA202" t="s">
        <v>60</v>
      </c>
      <c r="AL202" t="s">
        <v>61</v>
      </c>
    </row>
    <row r="203" spans="1:40" x14ac:dyDescent="0.25">
      <c r="A203" s="4">
        <v>32</v>
      </c>
      <c r="B203" t="s">
        <v>48</v>
      </c>
      <c r="C203" t="s">
        <v>49</v>
      </c>
      <c r="D203" s="5" t="s">
        <v>50</v>
      </c>
      <c r="E203" t="s">
        <v>51</v>
      </c>
      <c r="F203" s="6">
        <v>45151</v>
      </c>
      <c r="G203" s="7">
        <v>0.88888888888888895</v>
      </c>
      <c r="H203" t="s">
        <v>90</v>
      </c>
      <c r="I203" s="5" t="s">
        <v>304</v>
      </c>
      <c r="J203" t="s">
        <v>305</v>
      </c>
      <c r="K203" s="6">
        <v>45152</v>
      </c>
      <c r="L203" s="23">
        <v>0.66666666666666696</v>
      </c>
      <c r="M203" s="5">
        <v>119731</v>
      </c>
      <c r="N203" s="5" t="s">
        <v>55</v>
      </c>
      <c r="O203" s="8" t="s">
        <v>56</v>
      </c>
      <c r="Q203" t="s">
        <v>550</v>
      </c>
      <c r="R203" s="5" t="s">
        <v>94</v>
      </c>
      <c r="S203" s="9">
        <v>10</v>
      </c>
      <c r="T203" s="9">
        <v>5</v>
      </c>
      <c r="U203" s="9">
        <v>5</v>
      </c>
      <c r="V203" s="10">
        <f>Table1[[#This Row],[MARGIN '[€']]]/Table1[[#This Row],[SALES '[€']]]</f>
        <v>0.5</v>
      </c>
      <c r="W203" s="5">
        <v>9215166567</v>
      </c>
      <c r="X203" s="5" t="s">
        <v>551</v>
      </c>
      <c r="Y203" s="4">
        <v>621</v>
      </c>
      <c r="AA203" t="s">
        <v>89</v>
      </c>
      <c r="AL203" t="s">
        <v>61</v>
      </c>
    </row>
    <row r="204" spans="1:40" x14ac:dyDescent="0.25">
      <c r="A204" s="4">
        <v>33</v>
      </c>
      <c r="B204" t="s">
        <v>476</v>
      </c>
      <c r="C204" t="s">
        <v>49</v>
      </c>
      <c r="D204" s="5" t="s">
        <v>479</v>
      </c>
      <c r="E204" t="s">
        <v>480</v>
      </c>
      <c r="F204" s="6">
        <v>45152</v>
      </c>
      <c r="G204" s="7">
        <v>0.375</v>
      </c>
      <c r="H204" t="s">
        <v>153</v>
      </c>
      <c r="I204" s="5" t="s">
        <v>477</v>
      </c>
      <c r="J204" t="s">
        <v>478</v>
      </c>
      <c r="K204" s="6">
        <v>45155</v>
      </c>
      <c r="L204" s="23">
        <v>0.5</v>
      </c>
      <c r="N204" s="5" t="s">
        <v>55</v>
      </c>
      <c r="O204" s="8" t="s">
        <v>56</v>
      </c>
      <c r="P204" t="s">
        <v>450</v>
      </c>
      <c r="Q204" t="s">
        <v>552</v>
      </c>
      <c r="R204" s="5" t="s">
        <v>482</v>
      </c>
      <c r="S204" s="9">
        <v>10</v>
      </c>
      <c r="T204" s="9">
        <v>5</v>
      </c>
      <c r="U204" s="9">
        <v>5</v>
      </c>
      <c r="V204" s="10">
        <f>Table1[[#This Row],[MARGIN '[€']]]/Table1[[#This Row],[SALES '[€']]]</f>
        <v>0.5</v>
      </c>
      <c r="W204" s="5" t="s">
        <v>553</v>
      </c>
      <c r="X204" s="5" t="s">
        <v>554</v>
      </c>
      <c r="Y204" s="4">
        <v>3950</v>
      </c>
      <c r="AA204" t="s">
        <v>73</v>
      </c>
      <c r="AL204" t="s">
        <v>61</v>
      </c>
    </row>
    <row r="205" spans="1:40" x14ac:dyDescent="0.25">
      <c r="A205" s="4">
        <v>33</v>
      </c>
      <c r="B205" t="s">
        <v>170</v>
      </c>
      <c r="C205" t="s">
        <v>49</v>
      </c>
      <c r="D205" s="5" t="s">
        <v>156</v>
      </c>
      <c r="E205" t="s">
        <v>173</v>
      </c>
      <c r="F205" s="6">
        <v>45152</v>
      </c>
      <c r="G205" s="7">
        <v>0.33333333333333298</v>
      </c>
      <c r="H205" t="s">
        <v>153</v>
      </c>
      <c r="I205" s="5" t="s">
        <v>171</v>
      </c>
      <c r="J205" t="s">
        <v>172</v>
      </c>
      <c r="K205" s="6">
        <v>45159</v>
      </c>
      <c r="L205" s="23">
        <v>0.33333333333333298</v>
      </c>
      <c r="N205" s="5" t="s">
        <v>55</v>
      </c>
      <c r="O205" s="8" t="s">
        <v>159</v>
      </c>
      <c r="P205">
        <v>1500</v>
      </c>
      <c r="Q205" t="s">
        <v>174</v>
      </c>
      <c r="R205" s="5" t="s">
        <v>161</v>
      </c>
      <c r="S205" s="9">
        <v>10</v>
      </c>
      <c r="T205" s="9">
        <v>5</v>
      </c>
      <c r="U205" s="9">
        <v>5</v>
      </c>
      <c r="V205" s="10">
        <f>Table1[[#This Row],[MARGIN '[€']]]/Table1[[#This Row],[SALES '[€']]]</f>
        <v>0.5</v>
      </c>
      <c r="W205" s="5">
        <v>3800169720</v>
      </c>
      <c r="X205" s="5" t="s">
        <v>555</v>
      </c>
      <c r="Y205" s="4">
        <v>1766</v>
      </c>
      <c r="AA205" t="s">
        <v>60</v>
      </c>
      <c r="AD205">
        <v>12</v>
      </c>
      <c r="AE205" s="3">
        <v>3.6</v>
      </c>
      <c r="AL205" t="s">
        <v>61</v>
      </c>
    </row>
    <row r="206" spans="1:40" x14ac:dyDescent="0.25">
      <c r="A206" s="4">
        <v>33</v>
      </c>
      <c r="B206" t="s">
        <v>333</v>
      </c>
      <c r="C206" t="s">
        <v>49</v>
      </c>
      <c r="D206" s="5" t="s">
        <v>334</v>
      </c>
      <c r="E206" t="s">
        <v>335</v>
      </c>
      <c r="F206" s="6">
        <v>45152</v>
      </c>
      <c r="G206" s="7">
        <v>0.79166666666666696</v>
      </c>
      <c r="H206" t="s">
        <v>138</v>
      </c>
      <c r="I206" s="5">
        <v>77</v>
      </c>
      <c r="J206" t="s">
        <v>392</v>
      </c>
      <c r="K206" s="6">
        <v>45155</v>
      </c>
      <c r="L206" s="23">
        <v>0.25</v>
      </c>
      <c r="M206" s="5">
        <v>1002928522</v>
      </c>
      <c r="N206" s="5" t="s">
        <v>337</v>
      </c>
      <c r="O206" s="8" t="s">
        <v>338</v>
      </c>
      <c r="P206" t="s">
        <v>393</v>
      </c>
      <c r="Q206" t="s">
        <v>556</v>
      </c>
      <c r="R206" s="5" t="s">
        <v>557</v>
      </c>
      <c r="S206" s="9">
        <v>10</v>
      </c>
      <c r="T206" s="9">
        <v>5</v>
      </c>
      <c r="U206" s="9">
        <v>5</v>
      </c>
      <c r="V206" s="10">
        <f>Table1[[#This Row],[MARGIN '[€']]]/Table1[[#This Row],[SALES '[€']]]</f>
        <v>0.5</v>
      </c>
      <c r="W206" s="5" t="s">
        <v>558</v>
      </c>
      <c r="X206" s="5" t="s">
        <v>559</v>
      </c>
      <c r="Y206" s="4">
        <v>1571</v>
      </c>
      <c r="Z206" t="s">
        <v>339</v>
      </c>
      <c r="AA206" t="s">
        <v>342</v>
      </c>
      <c r="AL206" t="s">
        <v>61</v>
      </c>
    </row>
    <row r="207" spans="1:40" x14ac:dyDescent="0.25">
      <c r="A207" s="4">
        <v>33</v>
      </c>
      <c r="B207" t="s">
        <v>333</v>
      </c>
      <c r="C207" t="s">
        <v>49</v>
      </c>
      <c r="D207" s="5" t="s">
        <v>334</v>
      </c>
      <c r="E207" t="s">
        <v>335</v>
      </c>
      <c r="F207" s="6">
        <v>45152</v>
      </c>
      <c r="G207" s="7">
        <v>0.70833333333333304</v>
      </c>
      <c r="H207" t="s">
        <v>138</v>
      </c>
      <c r="I207" s="5">
        <v>62</v>
      </c>
      <c r="J207" t="s">
        <v>397</v>
      </c>
      <c r="K207" s="6">
        <v>45155</v>
      </c>
      <c r="L207" s="23">
        <v>0.4375</v>
      </c>
      <c r="M207" s="5">
        <v>1002928266</v>
      </c>
      <c r="N207" s="5" t="s">
        <v>337</v>
      </c>
      <c r="O207" s="8" t="s">
        <v>338</v>
      </c>
      <c r="P207" t="s">
        <v>339</v>
      </c>
      <c r="Q207" t="s">
        <v>560</v>
      </c>
      <c r="R207" s="5" t="s">
        <v>485</v>
      </c>
      <c r="S207" s="9">
        <v>10</v>
      </c>
      <c r="T207" s="9">
        <v>5</v>
      </c>
      <c r="U207" s="9">
        <v>5</v>
      </c>
      <c r="V207" s="10">
        <f>Table1[[#This Row],[MARGIN '[€']]]/Table1[[#This Row],[SALES '[€']]]</f>
        <v>0.5</v>
      </c>
      <c r="W207" s="5" t="s">
        <v>561</v>
      </c>
      <c r="X207" s="5" t="s">
        <v>562</v>
      </c>
      <c r="Y207" s="4">
        <v>1570</v>
      </c>
      <c r="Z207" t="s">
        <v>339</v>
      </c>
      <c r="AA207" t="s">
        <v>163</v>
      </c>
      <c r="AL207" t="s">
        <v>61</v>
      </c>
    </row>
    <row r="208" spans="1:40" x14ac:dyDescent="0.25">
      <c r="A208" s="4">
        <v>33</v>
      </c>
      <c r="B208" t="s">
        <v>333</v>
      </c>
      <c r="C208" t="s">
        <v>49</v>
      </c>
      <c r="D208" s="5" t="s">
        <v>334</v>
      </c>
      <c r="E208" t="s">
        <v>335</v>
      </c>
      <c r="F208" s="6">
        <v>45152</v>
      </c>
      <c r="G208" s="7">
        <v>0.70833333333333304</v>
      </c>
      <c r="H208" t="s">
        <v>138</v>
      </c>
      <c r="I208" s="5">
        <v>59</v>
      </c>
      <c r="J208" t="s">
        <v>563</v>
      </c>
      <c r="K208" s="6">
        <v>45155</v>
      </c>
      <c r="L208" s="23">
        <v>0.20833333333333301</v>
      </c>
      <c r="M208" s="5">
        <v>1002928529</v>
      </c>
      <c r="N208" s="5" t="s">
        <v>337</v>
      </c>
      <c r="O208" s="8" t="s">
        <v>338</v>
      </c>
      <c r="P208" t="s">
        <v>339</v>
      </c>
      <c r="Q208" t="s">
        <v>564</v>
      </c>
      <c r="R208" s="5" t="s">
        <v>565</v>
      </c>
      <c r="S208" s="9">
        <v>10</v>
      </c>
      <c r="T208" s="9">
        <v>5</v>
      </c>
      <c r="U208" s="9">
        <v>5</v>
      </c>
      <c r="V208" s="10">
        <f>Table1[[#This Row],[MARGIN '[€']]]/Table1[[#This Row],[SALES '[€']]]</f>
        <v>0.5</v>
      </c>
      <c r="W208" s="5" t="s">
        <v>566</v>
      </c>
      <c r="X208" s="5" t="s">
        <v>567</v>
      </c>
      <c r="Y208" s="4">
        <v>1732</v>
      </c>
      <c r="Z208">
        <v>169</v>
      </c>
      <c r="AA208" t="s">
        <v>163</v>
      </c>
      <c r="AL208" t="s">
        <v>61</v>
      </c>
      <c r="AN208">
        <v>921</v>
      </c>
    </row>
    <row r="209" spans="1:40" x14ac:dyDescent="0.25">
      <c r="A209" s="4">
        <v>33</v>
      </c>
      <c r="B209" t="s">
        <v>333</v>
      </c>
      <c r="C209" t="s">
        <v>49</v>
      </c>
      <c r="D209" s="5" t="s">
        <v>334</v>
      </c>
      <c r="E209" t="s">
        <v>335</v>
      </c>
      <c r="F209" s="6">
        <v>45152</v>
      </c>
      <c r="G209" s="7">
        <v>0.64583333333333304</v>
      </c>
      <c r="H209" t="s">
        <v>138</v>
      </c>
      <c r="I209" s="5">
        <v>49</v>
      </c>
      <c r="J209" t="s">
        <v>336</v>
      </c>
      <c r="K209" s="6">
        <v>45155</v>
      </c>
      <c r="L209" s="23" t="s">
        <v>568</v>
      </c>
      <c r="M209" s="5">
        <v>1002928269</v>
      </c>
      <c r="N209" s="5" t="s">
        <v>337</v>
      </c>
      <c r="O209" s="8" t="s">
        <v>338</v>
      </c>
      <c r="P209" t="s">
        <v>339</v>
      </c>
      <c r="Q209" t="s">
        <v>339</v>
      </c>
      <c r="R209" s="5" t="s">
        <v>145</v>
      </c>
      <c r="S209" s="9">
        <v>10</v>
      </c>
      <c r="T209" s="9">
        <v>5</v>
      </c>
      <c r="U209" s="9">
        <v>5</v>
      </c>
      <c r="V209" s="10">
        <f>Table1[[#This Row],[MARGIN '[€']]]/Table1[[#This Row],[SALES '[€']]]</f>
        <v>0.5</v>
      </c>
      <c r="W209" s="5" t="s">
        <v>569</v>
      </c>
      <c r="X209" s="5" t="s">
        <v>570</v>
      </c>
      <c r="Y209" s="4">
        <v>1883</v>
      </c>
      <c r="Z209" t="s">
        <v>339</v>
      </c>
      <c r="AA209" t="s">
        <v>342</v>
      </c>
      <c r="AL209" t="s">
        <v>214</v>
      </c>
    </row>
    <row r="210" spans="1:40" x14ac:dyDescent="0.25">
      <c r="A210" s="4">
        <v>33</v>
      </c>
      <c r="B210" t="s">
        <v>333</v>
      </c>
      <c r="C210" t="s">
        <v>49</v>
      </c>
      <c r="D210" s="5" t="s">
        <v>334</v>
      </c>
      <c r="E210" t="s">
        <v>335</v>
      </c>
      <c r="F210" s="6">
        <v>45152</v>
      </c>
      <c r="G210" s="7">
        <v>0.45833333333333298</v>
      </c>
      <c r="H210" t="s">
        <v>138</v>
      </c>
      <c r="I210" s="5">
        <v>41</v>
      </c>
      <c r="J210" t="s">
        <v>571</v>
      </c>
      <c r="K210" s="6">
        <v>45155</v>
      </c>
      <c r="L210" s="23">
        <v>0.25</v>
      </c>
      <c r="M210" s="5">
        <v>1002928104</v>
      </c>
      <c r="N210" s="5" t="s">
        <v>337</v>
      </c>
      <c r="O210" s="8" t="s">
        <v>338</v>
      </c>
      <c r="P210" t="s">
        <v>339</v>
      </c>
      <c r="Q210" t="s">
        <v>572</v>
      </c>
      <c r="R210" s="5" t="s">
        <v>573</v>
      </c>
      <c r="S210" s="9">
        <v>10</v>
      </c>
      <c r="T210" s="9">
        <v>5</v>
      </c>
      <c r="U210" s="9">
        <v>5</v>
      </c>
      <c r="V210" s="10">
        <f>Table1[[#This Row],[MARGIN '[€']]]/Table1[[#This Row],[SALES '[€']]]</f>
        <v>0.5</v>
      </c>
      <c r="W210" s="5" t="s">
        <v>574</v>
      </c>
      <c r="X210" s="5" t="s">
        <v>575</v>
      </c>
      <c r="Y210" s="4">
        <v>1775</v>
      </c>
      <c r="Z210" t="s">
        <v>339</v>
      </c>
      <c r="AA210" t="s">
        <v>342</v>
      </c>
      <c r="AL210" t="s">
        <v>61</v>
      </c>
    </row>
    <row r="211" spans="1:40" x14ac:dyDescent="0.25">
      <c r="A211" s="4">
        <v>33</v>
      </c>
      <c r="B211" t="s">
        <v>333</v>
      </c>
      <c r="C211" t="s">
        <v>49</v>
      </c>
      <c r="D211" s="5" t="s">
        <v>334</v>
      </c>
      <c r="E211" t="s">
        <v>335</v>
      </c>
      <c r="F211" s="6">
        <v>45152</v>
      </c>
      <c r="G211" s="7">
        <v>0.58333333333333304</v>
      </c>
      <c r="H211" t="s">
        <v>138</v>
      </c>
      <c r="I211" s="5">
        <v>38</v>
      </c>
      <c r="J211" t="s">
        <v>576</v>
      </c>
      <c r="K211" s="6">
        <v>45155</v>
      </c>
      <c r="L211" s="23">
        <v>0.35416666666666702</v>
      </c>
      <c r="M211" s="5">
        <v>1002921704</v>
      </c>
      <c r="N211" s="5" t="s">
        <v>337</v>
      </c>
      <c r="O211" s="8" t="s">
        <v>338</v>
      </c>
      <c r="P211" t="s">
        <v>339</v>
      </c>
      <c r="Q211" t="s">
        <v>577</v>
      </c>
      <c r="R211" s="5" t="s">
        <v>578</v>
      </c>
      <c r="S211" s="9">
        <v>10</v>
      </c>
      <c r="T211" s="9">
        <v>5</v>
      </c>
      <c r="U211" s="9">
        <v>5</v>
      </c>
      <c r="V211" s="10">
        <f>Table1[[#This Row],[MARGIN '[€']]]/Table1[[#This Row],[SALES '[€']]]</f>
        <v>0.5</v>
      </c>
      <c r="W211" s="5">
        <v>9215166384</v>
      </c>
      <c r="X211" s="5" t="s">
        <v>579</v>
      </c>
      <c r="Y211" s="4">
        <v>1637</v>
      </c>
      <c r="Z211" t="s">
        <v>339</v>
      </c>
      <c r="AA211" t="s">
        <v>163</v>
      </c>
      <c r="AL211" t="s">
        <v>61</v>
      </c>
    </row>
    <row r="212" spans="1:40" x14ac:dyDescent="0.25">
      <c r="A212" s="4">
        <v>33</v>
      </c>
      <c r="B212" t="s">
        <v>333</v>
      </c>
      <c r="C212" t="s">
        <v>49</v>
      </c>
      <c r="D212" s="5" t="s">
        <v>334</v>
      </c>
      <c r="E212" t="s">
        <v>335</v>
      </c>
      <c r="F212" s="6">
        <v>45152</v>
      </c>
      <c r="G212" s="7">
        <v>0.52083333333333304</v>
      </c>
      <c r="H212" t="s">
        <v>138</v>
      </c>
      <c r="I212" s="5">
        <v>38</v>
      </c>
      <c r="J212" t="s">
        <v>576</v>
      </c>
      <c r="K212" s="6">
        <v>45155</v>
      </c>
      <c r="L212" s="23">
        <v>0.29166666666666702</v>
      </c>
      <c r="M212" s="5">
        <v>1002921706</v>
      </c>
      <c r="N212" s="5" t="s">
        <v>337</v>
      </c>
      <c r="O212" s="8" t="s">
        <v>338</v>
      </c>
      <c r="P212" t="s">
        <v>339</v>
      </c>
      <c r="Q212" t="s">
        <v>580</v>
      </c>
      <c r="R212" s="5" t="s">
        <v>145</v>
      </c>
      <c r="S212" s="9">
        <v>10</v>
      </c>
      <c r="T212" s="9">
        <v>5</v>
      </c>
      <c r="U212" s="9">
        <v>5</v>
      </c>
      <c r="V212" s="10">
        <f>Table1[[#This Row],[MARGIN '[€']]]/Table1[[#This Row],[SALES '[€']]]</f>
        <v>0.5</v>
      </c>
      <c r="W212" s="5">
        <v>9215166302</v>
      </c>
      <c r="X212" s="5" t="s">
        <v>581</v>
      </c>
      <c r="Y212" s="4">
        <v>1637</v>
      </c>
      <c r="Z212" t="s">
        <v>339</v>
      </c>
      <c r="AA212" t="s">
        <v>342</v>
      </c>
      <c r="AL212" t="s">
        <v>61</v>
      </c>
    </row>
    <row r="213" spans="1:40" x14ac:dyDescent="0.25">
      <c r="A213" s="4">
        <v>33</v>
      </c>
      <c r="B213" t="s">
        <v>333</v>
      </c>
      <c r="C213" t="s">
        <v>49</v>
      </c>
      <c r="D213" s="5" t="s">
        <v>334</v>
      </c>
      <c r="E213" t="s">
        <v>335</v>
      </c>
      <c r="F213" s="6">
        <v>45152</v>
      </c>
      <c r="G213" s="7">
        <v>0.70833333333333304</v>
      </c>
      <c r="H213" t="s">
        <v>138</v>
      </c>
      <c r="I213" s="5">
        <v>38</v>
      </c>
      <c r="J213" t="s">
        <v>582</v>
      </c>
      <c r="K213" s="6">
        <v>45155</v>
      </c>
      <c r="L213" s="23">
        <v>0.25</v>
      </c>
      <c r="M213" s="5">
        <v>1002928523</v>
      </c>
      <c r="N213" s="5" t="s">
        <v>337</v>
      </c>
      <c r="O213" s="8" t="s">
        <v>338</v>
      </c>
      <c r="P213" t="s">
        <v>393</v>
      </c>
      <c r="Q213" t="s">
        <v>583</v>
      </c>
      <c r="R213" s="5" t="s">
        <v>584</v>
      </c>
      <c r="S213" s="9">
        <v>10</v>
      </c>
      <c r="T213" s="9">
        <v>5</v>
      </c>
      <c r="U213" s="9">
        <v>5</v>
      </c>
      <c r="V213" s="10">
        <f>Table1[[#This Row],[MARGIN '[€']]]/Table1[[#This Row],[SALES '[€']]]</f>
        <v>0.5</v>
      </c>
      <c r="W213" s="5" t="s">
        <v>585</v>
      </c>
      <c r="X213" s="5" t="s">
        <v>586</v>
      </c>
      <c r="Y213" s="4">
        <v>1642</v>
      </c>
      <c r="Z213" t="s">
        <v>339</v>
      </c>
      <c r="AA213" t="s">
        <v>342</v>
      </c>
      <c r="AL213" t="s">
        <v>61</v>
      </c>
    </row>
    <row r="214" spans="1:40" x14ac:dyDescent="0.25">
      <c r="A214" s="4">
        <v>33</v>
      </c>
      <c r="B214" t="s">
        <v>333</v>
      </c>
      <c r="C214" t="s">
        <v>49</v>
      </c>
      <c r="D214" s="5" t="s">
        <v>334</v>
      </c>
      <c r="E214" t="s">
        <v>335</v>
      </c>
      <c r="F214" s="6">
        <v>45152</v>
      </c>
      <c r="G214" s="7">
        <v>0.79166666666666696</v>
      </c>
      <c r="H214" t="s">
        <v>138</v>
      </c>
      <c r="I214" s="5">
        <v>31</v>
      </c>
      <c r="J214" t="s">
        <v>587</v>
      </c>
      <c r="K214" s="6">
        <v>45155</v>
      </c>
      <c r="L214" s="23" t="s">
        <v>568</v>
      </c>
      <c r="M214" s="5">
        <v>1002915892</v>
      </c>
      <c r="N214" s="5" t="s">
        <v>337</v>
      </c>
      <c r="O214" s="8" t="s">
        <v>338</v>
      </c>
      <c r="P214" t="s">
        <v>588</v>
      </c>
      <c r="Q214" t="s">
        <v>339</v>
      </c>
      <c r="R214" s="5" t="s">
        <v>339</v>
      </c>
      <c r="S214" s="9">
        <v>10</v>
      </c>
      <c r="T214" s="9">
        <v>5</v>
      </c>
      <c r="U214" s="9">
        <v>5</v>
      </c>
      <c r="V214" s="10">
        <f>Table1[[#This Row],[MARGIN '[€']]]/Table1[[#This Row],[SALES '[€']]]</f>
        <v>0.5</v>
      </c>
      <c r="W214" s="5" t="s">
        <v>339</v>
      </c>
      <c r="X214" s="5" t="s">
        <v>339</v>
      </c>
      <c r="Y214" s="4">
        <v>2070</v>
      </c>
      <c r="Z214" t="s">
        <v>339</v>
      </c>
      <c r="AA214" t="s">
        <v>163</v>
      </c>
      <c r="AL214" t="s">
        <v>214</v>
      </c>
    </row>
    <row r="215" spans="1:40" x14ac:dyDescent="0.25">
      <c r="A215" s="4">
        <v>33</v>
      </c>
      <c r="B215" t="s">
        <v>333</v>
      </c>
      <c r="C215" t="s">
        <v>49</v>
      </c>
      <c r="D215" s="5" t="s">
        <v>334</v>
      </c>
      <c r="E215" t="s">
        <v>335</v>
      </c>
      <c r="F215" s="6">
        <v>45152</v>
      </c>
      <c r="G215" s="7">
        <v>0.79166666666666696</v>
      </c>
      <c r="H215" t="s">
        <v>138</v>
      </c>
      <c r="I215" s="5">
        <v>19</v>
      </c>
      <c r="J215" t="s">
        <v>589</v>
      </c>
      <c r="K215" s="6">
        <v>45155</v>
      </c>
      <c r="L215" s="23">
        <v>0.8125</v>
      </c>
      <c r="M215" s="5">
        <v>1002926790</v>
      </c>
      <c r="N215" s="5" t="s">
        <v>337</v>
      </c>
      <c r="O215" s="8" t="s">
        <v>338</v>
      </c>
      <c r="P215" t="s">
        <v>590</v>
      </c>
      <c r="Q215" t="s">
        <v>591</v>
      </c>
      <c r="R215" s="5" t="s">
        <v>592</v>
      </c>
      <c r="S215" s="9">
        <v>10</v>
      </c>
      <c r="T215" s="9">
        <v>5</v>
      </c>
      <c r="U215" s="9">
        <v>5</v>
      </c>
      <c r="V215" s="10">
        <f>Table1[[#This Row],[MARGIN '[€']]]/Table1[[#This Row],[SALES '[€']]]</f>
        <v>0.5</v>
      </c>
      <c r="W215" s="5">
        <v>9215166512</v>
      </c>
      <c r="X215" s="5" t="s">
        <v>593</v>
      </c>
      <c r="Y215" s="4">
        <v>1890</v>
      </c>
      <c r="Z215" t="s">
        <v>339</v>
      </c>
      <c r="AA215" t="s">
        <v>342</v>
      </c>
      <c r="AL215" t="s">
        <v>61</v>
      </c>
    </row>
    <row r="216" spans="1:40" x14ac:dyDescent="0.25">
      <c r="A216" s="4">
        <v>33</v>
      </c>
      <c r="B216" t="s">
        <v>333</v>
      </c>
      <c r="C216" t="s">
        <v>49</v>
      </c>
      <c r="D216" s="5" t="s">
        <v>334</v>
      </c>
      <c r="E216" t="s">
        <v>335</v>
      </c>
      <c r="F216" s="6">
        <v>45152</v>
      </c>
      <c r="G216" s="7">
        <v>0.79166666666666696</v>
      </c>
      <c r="H216" t="s">
        <v>138</v>
      </c>
      <c r="I216" s="5">
        <v>13</v>
      </c>
      <c r="J216" t="s">
        <v>594</v>
      </c>
      <c r="K216" s="6">
        <v>45155</v>
      </c>
      <c r="L216" s="23">
        <v>0.6875</v>
      </c>
      <c r="M216" s="5">
        <v>1002928520</v>
      </c>
      <c r="N216" s="5" t="s">
        <v>337</v>
      </c>
      <c r="O216" s="8" t="s">
        <v>338</v>
      </c>
      <c r="P216" t="s">
        <v>339</v>
      </c>
      <c r="Q216" t="s">
        <v>595</v>
      </c>
      <c r="R216" s="5" t="s">
        <v>513</v>
      </c>
      <c r="S216" s="9">
        <v>10</v>
      </c>
      <c r="T216" s="9">
        <v>5</v>
      </c>
      <c r="U216" s="9">
        <v>5</v>
      </c>
      <c r="V216" s="10">
        <f>Table1[[#This Row],[MARGIN '[€']]]/Table1[[#This Row],[SALES '[€']]]</f>
        <v>0.5</v>
      </c>
      <c r="W216" s="5" t="s">
        <v>596</v>
      </c>
      <c r="X216" s="5" t="s">
        <v>597</v>
      </c>
      <c r="Y216" s="4">
        <v>1860</v>
      </c>
      <c r="Z216" t="s">
        <v>339</v>
      </c>
      <c r="AA216" t="s">
        <v>342</v>
      </c>
      <c r="AL216" t="s">
        <v>61</v>
      </c>
    </row>
    <row r="217" spans="1:40" x14ac:dyDescent="0.25">
      <c r="A217" s="4">
        <v>33</v>
      </c>
      <c r="B217" t="s">
        <v>333</v>
      </c>
      <c r="C217" t="s">
        <v>49</v>
      </c>
      <c r="D217" s="5" t="s">
        <v>334</v>
      </c>
      <c r="E217" t="s">
        <v>335</v>
      </c>
      <c r="F217" s="6">
        <v>45152</v>
      </c>
      <c r="G217" s="7">
        <v>0.3125</v>
      </c>
      <c r="H217" t="s">
        <v>384</v>
      </c>
      <c r="I217" s="5">
        <v>29</v>
      </c>
      <c r="J217" t="s">
        <v>386</v>
      </c>
      <c r="K217" s="6">
        <v>45154</v>
      </c>
      <c r="L217" s="23">
        <v>0.41666666666666702</v>
      </c>
      <c r="M217" s="5">
        <v>1002943670</v>
      </c>
      <c r="N217" s="5" t="s">
        <v>69</v>
      </c>
      <c r="O217" s="8" t="s">
        <v>387</v>
      </c>
      <c r="Q217" t="s">
        <v>598</v>
      </c>
      <c r="R217" s="5" t="s">
        <v>390</v>
      </c>
      <c r="S217" s="9">
        <v>10</v>
      </c>
      <c r="T217" s="9">
        <v>5</v>
      </c>
      <c r="U217" s="9">
        <v>5</v>
      </c>
      <c r="V217" s="10">
        <f>Table1[[#This Row],[MARGIN '[€']]]/Table1[[#This Row],[SALES '[€']]]</f>
        <v>0.5</v>
      </c>
      <c r="W217" s="5">
        <v>9215166515</v>
      </c>
      <c r="X217" s="5" t="s">
        <v>599</v>
      </c>
      <c r="Y217" s="4">
        <v>1212</v>
      </c>
      <c r="Z217">
        <v>0</v>
      </c>
      <c r="AA217" t="s">
        <v>163</v>
      </c>
      <c r="AL217" t="s">
        <v>61</v>
      </c>
      <c r="AN217">
        <v>921</v>
      </c>
    </row>
    <row r="218" spans="1:40" x14ac:dyDescent="0.25">
      <c r="A218" s="4">
        <v>33</v>
      </c>
      <c r="B218" t="s">
        <v>234</v>
      </c>
      <c r="C218" t="s">
        <v>49</v>
      </c>
      <c r="D218" s="5" t="s">
        <v>50</v>
      </c>
      <c r="E218" t="s">
        <v>235</v>
      </c>
      <c r="F218" s="6">
        <v>45152</v>
      </c>
      <c r="G218" s="7">
        <v>0.625</v>
      </c>
      <c r="H218" t="s">
        <v>600</v>
      </c>
      <c r="I218" s="5" t="s">
        <v>601</v>
      </c>
      <c r="J218" t="s">
        <v>602</v>
      </c>
      <c r="K218" s="6">
        <v>45153</v>
      </c>
      <c r="L218" s="23">
        <v>0.70833333333333304</v>
      </c>
      <c r="N218" s="5" t="s">
        <v>142</v>
      </c>
      <c r="O218" s="8" t="s">
        <v>450</v>
      </c>
      <c r="Q218" t="s">
        <v>603</v>
      </c>
      <c r="R218" s="5" t="s">
        <v>604</v>
      </c>
      <c r="S218" s="9">
        <v>10</v>
      </c>
      <c r="T218" s="9">
        <v>5</v>
      </c>
      <c r="U218" s="9">
        <v>5</v>
      </c>
      <c r="V218" s="10">
        <f>Table1[[#This Row],[MARGIN '[€']]]/Table1[[#This Row],[SALES '[€']]]</f>
        <v>0.5</v>
      </c>
      <c r="W218" s="5" t="s">
        <v>605</v>
      </c>
      <c r="X218" s="5" t="s">
        <v>606</v>
      </c>
      <c r="Y218" s="4">
        <v>733</v>
      </c>
      <c r="AA218" t="s">
        <v>163</v>
      </c>
      <c r="AL218" t="s">
        <v>61</v>
      </c>
    </row>
    <row r="219" spans="1:40" x14ac:dyDescent="0.25">
      <c r="A219" s="4">
        <v>33</v>
      </c>
      <c r="B219" t="s">
        <v>607</v>
      </c>
      <c r="C219" t="s">
        <v>49</v>
      </c>
      <c r="D219" s="5" t="s">
        <v>156</v>
      </c>
      <c r="E219" t="s">
        <v>608</v>
      </c>
      <c r="F219" s="6">
        <v>45152</v>
      </c>
      <c r="G219" s="7">
        <v>0.91666666666666696</v>
      </c>
      <c r="H219" t="s">
        <v>49</v>
      </c>
      <c r="I219" s="5" t="s">
        <v>50</v>
      </c>
      <c r="J219" t="s">
        <v>51</v>
      </c>
      <c r="K219" s="6">
        <v>45153</v>
      </c>
      <c r="L219" s="3">
        <v>0.16666666666666699</v>
      </c>
      <c r="N219" s="5" t="s">
        <v>55</v>
      </c>
      <c r="O219" s="8" t="s">
        <v>56</v>
      </c>
      <c r="P219" t="s">
        <v>609</v>
      </c>
      <c r="Q219" t="s">
        <v>610</v>
      </c>
      <c r="R219" s="5" t="s">
        <v>611</v>
      </c>
      <c r="S219" s="9">
        <v>10</v>
      </c>
      <c r="T219" s="9">
        <v>5</v>
      </c>
      <c r="U219" s="9">
        <v>5</v>
      </c>
      <c r="V219" s="10">
        <f>Table1[[#This Row],[MARGIN '[€']]]/Table1[[#This Row],[SALES '[€']]]</f>
        <v>0.5</v>
      </c>
      <c r="X219" s="5" t="s">
        <v>612</v>
      </c>
      <c r="Y219" s="4">
        <v>386</v>
      </c>
      <c r="Z219">
        <v>14</v>
      </c>
      <c r="AA219" t="s">
        <v>163</v>
      </c>
      <c r="AL219" t="s">
        <v>61</v>
      </c>
      <c r="AN219" t="s">
        <v>613</v>
      </c>
    </row>
    <row r="220" spans="1:40" x14ac:dyDescent="0.25">
      <c r="A220" s="4">
        <v>33</v>
      </c>
      <c r="B220" t="s">
        <v>48</v>
      </c>
      <c r="C220" t="s">
        <v>49</v>
      </c>
      <c r="D220" s="5" t="s">
        <v>50</v>
      </c>
      <c r="E220" t="s">
        <v>51</v>
      </c>
      <c r="F220" s="6">
        <v>45152</v>
      </c>
      <c r="G220" s="7">
        <v>0.375</v>
      </c>
      <c r="H220" t="s">
        <v>90</v>
      </c>
      <c r="I220" s="5">
        <v>24</v>
      </c>
      <c r="J220" t="s">
        <v>92</v>
      </c>
      <c r="K220" s="6">
        <v>45152</v>
      </c>
      <c r="L220" s="23">
        <v>0.75</v>
      </c>
      <c r="M220" s="5">
        <v>119641</v>
      </c>
      <c r="N220" s="5" t="s">
        <v>69</v>
      </c>
      <c r="O220" s="8" t="s">
        <v>56</v>
      </c>
      <c r="Q220" t="s">
        <v>614</v>
      </c>
      <c r="R220" s="5" t="s">
        <v>615</v>
      </c>
      <c r="S220" s="9">
        <v>10</v>
      </c>
      <c r="T220" s="9">
        <v>5</v>
      </c>
      <c r="U220" s="9">
        <v>5</v>
      </c>
      <c r="V220" s="10">
        <f>Table1[[#This Row],[MARGIN '[€']]]/Table1[[#This Row],[SALES '[€']]]</f>
        <v>0.5</v>
      </c>
      <c r="W220" s="5">
        <v>9215166561</v>
      </c>
      <c r="X220" s="5" t="s">
        <v>616</v>
      </c>
      <c r="Y220" s="4">
        <v>441</v>
      </c>
      <c r="Z220" t="s">
        <v>617</v>
      </c>
      <c r="AA220" t="s">
        <v>60</v>
      </c>
      <c r="AL220" t="s">
        <v>61</v>
      </c>
    </row>
    <row r="221" spans="1:40" x14ac:dyDescent="0.25">
      <c r="A221" s="4">
        <v>33</v>
      </c>
      <c r="B221" t="s">
        <v>48</v>
      </c>
      <c r="C221" t="s">
        <v>49</v>
      </c>
      <c r="D221" s="5" t="s">
        <v>50</v>
      </c>
      <c r="E221" t="s">
        <v>51</v>
      </c>
      <c r="F221" s="6">
        <v>45152</v>
      </c>
      <c r="G221" s="7">
        <v>0.14583333333333301</v>
      </c>
      <c r="H221" t="s">
        <v>90</v>
      </c>
      <c r="I221" s="5">
        <v>24</v>
      </c>
      <c r="J221" t="s">
        <v>92</v>
      </c>
      <c r="K221" s="6">
        <v>45152</v>
      </c>
      <c r="L221" s="23">
        <v>0.49652777777777801</v>
      </c>
      <c r="M221" s="5">
        <v>119642</v>
      </c>
      <c r="N221" s="5" t="s">
        <v>69</v>
      </c>
      <c r="O221" s="8" t="s">
        <v>56</v>
      </c>
      <c r="Q221" t="s">
        <v>526</v>
      </c>
      <c r="R221" s="5" t="s">
        <v>98</v>
      </c>
      <c r="S221" s="9">
        <v>10</v>
      </c>
      <c r="T221" s="9">
        <v>5</v>
      </c>
      <c r="U221" s="9">
        <v>5</v>
      </c>
      <c r="V221" s="10">
        <f>Table1[[#This Row],[MARGIN '[€']]]/Table1[[#This Row],[SALES '[€']]]</f>
        <v>0.5</v>
      </c>
      <c r="W221" s="5">
        <v>9215166562</v>
      </c>
      <c r="X221" s="5" t="s">
        <v>618</v>
      </c>
      <c r="Y221" s="4">
        <v>441</v>
      </c>
      <c r="Z221" t="s">
        <v>619</v>
      </c>
      <c r="AA221" t="s">
        <v>60</v>
      </c>
      <c r="AL221" t="s">
        <v>61</v>
      </c>
    </row>
    <row r="222" spans="1:40" x14ac:dyDescent="0.25">
      <c r="A222" s="4">
        <v>33</v>
      </c>
      <c r="B222" t="s">
        <v>48</v>
      </c>
      <c r="C222" t="s">
        <v>49</v>
      </c>
      <c r="D222" s="5" t="s">
        <v>50</v>
      </c>
      <c r="E222" t="s">
        <v>51</v>
      </c>
      <c r="F222" s="6">
        <v>45152</v>
      </c>
      <c r="G222" s="7">
        <v>0.16666666666666699</v>
      </c>
      <c r="H222" t="s">
        <v>52</v>
      </c>
      <c r="I222" s="5">
        <v>35</v>
      </c>
      <c r="J222" t="s">
        <v>54</v>
      </c>
      <c r="K222" s="6">
        <v>45152</v>
      </c>
      <c r="L222" s="23">
        <v>0.75</v>
      </c>
      <c r="M222" s="5">
        <v>119779</v>
      </c>
      <c r="N222" s="5" t="s">
        <v>69</v>
      </c>
      <c r="O222" s="8" t="s">
        <v>56</v>
      </c>
      <c r="Q222" t="s">
        <v>62</v>
      </c>
      <c r="R222" s="5" t="s">
        <v>58</v>
      </c>
      <c r="S222" s="9">
        <v>10</v>
      </c>
      <c r="T222" s="9">
        <v>5</v>
      </c>
      <c r="U222" s="9">
        <v>5</v>
      </c>
      <c r="V222" s="10">
        <f>Table1[[#This Row],[MARGIN '[€']]]/Table1[[#This Row],[SALES '[€']]]</f>
        <v>0.5</v>
      </c>
      <c r="W222" s="5">
        <v>9215166573</v>
      </c>
      <c r="X222" s="5" t="s">
        <v>620</v>
      </c>
      <c r="Y222" s="4">
        <v>82</v>
      </c>
      <c r="AA222" t="s">
        <v>60</v>
      </c>
      <c r="AL222" t="s">
        <v>61</v>
      </c>
    </row>
    <row r="223" spans="1:40" x14ac:dyDescent="0.25">
      <c r="A223" s="4">
        <v>33</v>
      </c>
      <c r="B223" t="s">
        <v>48</v>
      </c>
      <c r="C223" t="s">
        <v>49</v>
      </c>
      <c r="D223" s="5" t="s">
        <v>50</v>
      </c>
      <c r="E223" t="s">
        <v>51</v>
      </c>
      <c r="F223" s="6">
        <v>45152</v>
      </c>
      <c r="G223" s="7">
        <v>0.1875</v>
      </c>
      <c r="H223" t="s">
        <v>52</v>
      </c>
      <c r="I223" s="5">
        <v>35</v>
      </c>
      <c r="J223" t="s">
        <v>54</v>
      </c>
      <c r="K223" s="6">
        <v>45152</v>
      </c>
      <c r="L223" s="23">
        <v>0.75</v>
      </c>
      <c r="M223" s="5">
        <v>119780</v>
      </c>
      <c r="N223" s="5" t="s">
        <v>55</v>
      </c>
      <c r="O223" s="8" t="s">
        <v>56</v>
      </c>
      <c r="Q223" t="s">
        <v>57</v>
      </c>
      <c r="R223" s="5" t="s">
        <v>58</v>
      </c>
      <c r="S223" s="9">
        <v>10</v>
      </c>
      <c r="T223" s="9">
        <v>5</v>
      </c>
      <c r="U223" s="9">
        <v>5</v>
      </c>
      <c r="V223" s="10">
        <f>Table1[[#This Row],[MARGIN '[€']]]/Table1[[#This Row],[SALES '[€']]]</f>
        <v>0.5</v>
      </c>
      <c r="W223" s="5">
        <v>9215166576</v>
      </c>
      <c r="X223" s="5" t="s">
        <v>621</v>
      </c>
      <c r="Y223" s="4">
        <v>82</v>
      </c>
      <c r="AA223" t="s">
        <v>60</v>
      </c>
      <c r="AL223" t="s">
        <v>61</v>
      </c>
    </row>
    <row r="224" spans="1:40" x14ac:dyDescent="0.25">
      <c r="A224" s="4">
        <v>33</v>
      </c>
      <c r="B224" t="s">
        <v>48</v>
      </c>
      <c r="C224" t="s">
        <v>49</v>
      </c>
      <c r="D224" s="5" t="s">
        <v>50</v>
      </c>
      <c r="E224" t="s">
        <v>51</v>
      </c>
      <c r="F224" s="6">
        <v>45152</v>
      </c>
      <c r="G224" s="7">
        <v>0.20833333333333301</v>
      </c>
      <c r="H224" t="s">
        <v>52</v>
      </c>
      <c r="I224" s="5">
        <v>35</v>
      </c>
      <c r="J224" t="s">
        <v>54</v>
      </c>
      <c r="K224" s="6">
        <v>45152</v>
      </c>
      <c r="L224" s="23">
        <v>0.75</v>
      </c>
      <c r="M224" s="5">
        <v>119781</v>
      </c>
      <c r="N224" s="5" t="s">
        <v>55</v>
      </c>
      <c r="O224" s="8" t="s">
        <v>56</v>
      </c>
      <c r="Q224" t="s">
        <v>64</v>
      </c>
      <c r="R224" s="5" t="s">
        <v>58</v>
      </c>
      <c r="S224" s="9">
        <v>10</v>
      </c>
      <c r="T224" s="9">
        <v>5</v>
      </c>
      <c r="U224" s="9">
        <v>5</v>
      </c>
      <c r="V224" s="10">
        <f>Table1[[#This Row],[MARGIN '[€']]]/Table1[[#This Row],[SALES '[€']]]</f>
        <v>0.5</v>
      </c>
      <c r="W224" s="5">
        <v>9215166579</v>
      </c>
      <c r="X224" s="5" t="s">
        <v>622</v>
      </c>
      <c r="Y224" s="4">
        <v>82</v>
      </c>
      <c r="AA224" t="s">
        <v>60</v>
      </c>
      <c r="AL224" t="s">
        <v>61</v>
      </c>
    </row>
    <row r="225" spans="1:38" x14ac:dyDescent="0.25">
      <c r="A225" s="4">
        <v>33</v>
      </c>
      <c r="B225" t="s">
        <v>48</v>
      </c>
      <c r="C225" t="s">
        <v>49</v>
      </c>
      <c r="D225" s="5" t="s">
        <v>50</v>
      </c>
      <c r="E225" t="s">
        <v>51</v>
      </c>
      <c r="F225" s="6">
        <v>45152</v>
      </c>
      <c r="G225" s="7">
        <v>0.33333333333333298</v>
      </c>
      <c r="H225" t="s">
        <v>52</v>
      </c>
      <c r="I225" s="5">
        <v>35</v>
      </c>
      <c r="J225" t="s">
        <v>54</v>
      </c>
      <c r="K225" s="6">
        <v>45152</v>
      </c>
      <c r="L225" s="23">
        <v>0.75</v>
      </c>
      <c r="M225" s="5">
        <v>119782</v>
      </c>
      <c r="N225" s="5" t="s">
        <v>69</v>
      </c>
      <c r="O225" s="8" t="s">
        <v>56</v>
      </c>
      <c r="Q225" t="s">
        <v>62</v>
      </c>
      <c r="R225" s="5" t="s">
        <v>58</v>
      </c>
      <c r="S225" s="9">
        <v>10</v>
      </c>
      <c r="T225" s="9">
        <v>5</v>
      </c>
      <c r="U225" s="9">
        <v>5</v>
      </c>
      <c r="V225" s="10">
        <f>Table1[[#This Row],[MARGIN '[€']]]/Table1[[#This Row],[SALES '[€']]]</f>
        <v>0.5</v>
      </c>
      <c r="W225" s="5">
        <v>9215166574</v>
      </c>
      <c r="X225" s="5" t="s">
        <v>620</v>
      </c>
      <c r="Y225" s="4">
        <v>82</v>
      </c>
      <c r="AA225" t="s">
        <v>60</v>
      </c>
      <c r="AL225" t="s">
        <v>61</v>
      </c>
    </row>
    <row r="226" spans="1:38" x14ac:dyDescent="0.25">
      <c r="A226" s="4">
        <v>33</v>
      </c>
      <c r="B226" t="s">
        <v>48</v>
      </c>
      <c r="C226" t="s">
        <v>49</v>
      </c>
      <c r="D226" s="5" t="s">
        <v>50</v>
      </c>
      <c r="E226" t="s">
        <v>51</v>
      </c>
      <c r="F226" s="6">
        <v>45152</v>
      </c>
      <c r="G226" s="7">
        <v>0.34722222222222199</v>
      </c>
      <c r="H226" t="s">
        <v>52</v>
      </c>
      <c r="I226" s="5">
        <v>35</v>
      </c>
      <c r="J226" t="s">
        <v>54</v>
      </c>
      <c r="K226" s="6">
        <v>45152</v>
      </c>
      <c r="L226" s="23">
        <v>0.75</v>
      </c>
      <c r="M226" s="5">
        <v>119783</v>
      </c>
      <c r="N226" s="5" t="s">
        <v>55</v>
      </c>
      <c r="O226" s="8" t="s">
        <v>56</v>
      </c>
      <c r="Q226" t="s">
        <v>57</v>
      </c>
      <c r="R226" s="5" t="s">
        <v>58</v>
      </c>
      <c r="S226" s="9">
        <v>10</v>
      </c>
      <c r="T226" s="9">
        <v>5</v>
      </c>
      <c r="U226" s="9">
        <v>5</v>
      </c>
      <c r="V226" s="10">
        <f>Table1[[#This Row],[MARGIN '[€']]]/Table1[[#This Row],[SALES '[€']]]</f>
        <v>0.5</v>
      </c>
      <c r="W226" s="5">
        <v>9215166577</v>
      </c>
      <c r="X226" s="5" t="s">
        <v>621</v>
      </c>
      <c r="Y226" s="4">
        <v>82</v>
      </c>
      <c r="AA226" t="s">
        <v>60</v>
      </c>
      <c r="AL226" t="s">
        <v>61</v>
      </c>
    </row>
    <row r="227" spans="1:38" x14ac:dyDescent="0.25">
      <c r="A227" s="4">
        <v>33</v>
      </c>
      <c r="B227" t="s">
        <v>48</v>
      </c>
      <c r="C227" t="s">
        <v>49</v>
      </c>
      <c r="D227" s="5" t="s">
        <v>50</v>
      </c>
      <c r="E227" t="s">
        <v>51</v>
      </c>
      <c r="F227" s="6">
        <v>45152</v>
      </c>
      <c r="G227" s="7">
        <v>0.36111111111111099</v>
      </c>
      <c r="H227" t="s">
        <v>52</v>
      </c>
      <c r="I227" s="5">
        <v>35</v>
      </c>
      <c r="J227" t="s">
        <v>54</v>
      </c>
      <c r="K227" s="6">
        <v>45152</v>
      </c>
      <c r="L227" s="23">
        <v>0.75</v>
      </c>
      <c r="M227" s="5">
        <v>119784</v>
      </c>
      <c r="N227" s="5" t="s">
        <v>55</v>
      </c>
      <c r="O227" s="8" t="s">
        <v>56</v>
      </c>
      <c r="Q227" t="s">
        <v>64</v>
      </c>
      <c r="R227" s="5" t="s">
        <v>58</v>
      </c>
      <c r="S227" s="9">
        <v>10</v>
      </c>
      <c r="T227" s="9">
        <v>5</v>
      </c>
      <c r="U227" s="9">
        <v>5</v>
      </c>
      <c r="V227" s="10">
        <f>Table1[[#This Row],[MARGIN '[€']]]/Table1[[#This Row],[SALES '[€']]]</f>
        <v>0.5</v>
      </c>
      <c r="W227" s="5">
        <v>9215166580</v>
      </c>
      <c r="X227" s="5" t="s">
        <v>622</v>
      </c>
      <c r="Y227" s="4">
        <v>82</v>
      </c>
      <c r="AA227" t="s">
        <v>60</v>
      </c>
      <c r="AL227" t="s">
        <v>61</v>
      </c>
    </row>
    <row r="228" spans="1:38" x14ac:dyDescent="0.25">
      <c r="A228" s="4">
        <v>33</v>
      </c>
      <c r="B228" t="s">
        <v>48</v>
      </c>
      <c r="C228" t="s">
        <v>49</v>
      </c>
      <c r="D228" s="5" t="s">
        <v>50</v>
      </c>
      <c r="E228" t="s">
        <v>51</v>
      </c>
      <c r="F228" s="6">
        <v>45152</v>
      </c>
      <c r="G228" s="7">
        <v>0.47222222222222199</v>
      </c>
      <c r="H228" t="s">
        <v>52</v>
      </c>
      <c r="I228" s="5">
        <v>35</v>
      </c>
      <c r="J228" t="s">
        <v>54</v>
      </c>
      <c r="K228" s="6">
        <v>45152</v>
      </c>
      <c r="L228" s="23">
        <v>0.75</v>
      </c>
      <c r="M228" s="5">
        <v>119785</v>
      </c>
      <c r="N228" s="5" t="s">
        <v>69</v>
      </c>
      <c r="O228" s="8" t="s">
        <v>56</v>
      </c>
      <c r="Q228" t="s">
        <v>62</v>
      </c>
      <c r="R228" s="5" t="s">
        <v>58</v>
      </c>
      <c r="S228" s="9">
        <v>10</v>
      </c>
      <c r="T228" s="9">
        <v>5</v>
      </c>
      <c r="U228" s="9">
        <v>5</v>
      </c>
      <c r="V228" s="10">
        <f>Table1[[#This Row],[MARGIN '[€']]]/Table1[[#This Row],[SALES '[€']]]</f>
        <v>0.5</v>
      </c>
      <c r="W228" s="5">
        <v>9215166575</v>
      </c>
      <c r="X228" s="5" t="s">
        <v>620</v>
      </c>
      <c r="Y228" s="4">
        <v>82</v>
      </c>
      <c r="AA228" t="s">
        <v>60</v>
      </c>
      <c r="AL228" t="s">
        <v>61</v>
      </c>
    </row>
    <row r="229" spans="1:38" x14ac:dyDescent="0.25">
      <c r="A229" s="4">
        <v>33</v>
      </c>
      <c r="B229" t="s">
        <v>48</v>
      </c>
      <c r="C229" t="s">
        <v>49</v>
      </c>
      <c r="D229" s="5" t="s">
        <v>50</v>
      </c>
      <c r="E229" t="s">
        <v>51</v>
      </c>
      <c r="F229" s="6">
        <v>45152</v>
      </c>
      <c r="G229" s="7">
        <v>0.48611111111111099</v>
      </c>
      <c r="H229" t="s">
        <v>52</v>
      </c>
      <c r="I229" s="5">
        <v>35</v>
      </c>
      <c r="J229" t="s">
        <v>54</v>
      </c>
      <c r="K229" s="6">
        <v>45152</v>
      </c>
      <c r="L229" s="23">
        <v>0.75</v>
      </c>
      <c r="M229" s="5">
        <v>119786</v>
      </c>
      <c r="N229" s="5" t="s">
        <v>55</v>
      </c>
      <c r="O229" s="8" t="s">
        <v>56</v>
      </c>
      <c r="Q229" t="s">
        <v>57</v>
      </c>
      <c r="R229" s="5" t="s">
        <v>58</v>
      </c>
      <c r="S229" s="9">
        <v>10</v>
      </c>
      <c r="T229" s="9">
        <v>5</v>
      </c>
      <c r="U229" s="9">
        <v>5</v>
      </c>
      <c r="V229" s="10">
        <f>Table1[[#This Row],[MARGIN '[€']]]/Table1[[#This Row],[SALES '[€']]]</f>
        <v>0.5</v>
      </c>
      <c r="W229" s="5">
        <v>9215166578</v>
      </c>
      <c r="X229" s="5" t="s">
        <v>621</v>
      </c>
      <c r="Y229" s="4">
        <v>82</v>
      </c>
      <c r="AA229" t="s">
        <v>60</v>
      </c>
      <c r="AL229" t="s">
        <v>61</v>
      </c>
    </row>
    <row r="230" spans="1:38" x14ac:dyDescent="0.25">
      <c r="A230" s="4">
        <v>33</v>
      </c>
      <c r="B230" t="s">
        <v>48</v>
      </c>
      <c r="C230" t="s">
        <v>49</v>
      </c>
      <c r="D230" s="5" t="s">
        <v>50</v>
      </c>
      <c r="E230" t="s">
        <v>51</v>
      </c>
      <c r="F230" s="6">
        <v>45152</v>
      </c>
      <c r="G230" s="7">
        <v>0.5</v>
      </c>
      <c r="H230" t="s">
        <v>52</v>
      </c>
      <c r="I230" s="5">
        <v>35</v>
      </c>
      <c r="J230" t="s">
        <v>54</v>
      </c>
      <c r="K230" s="6">
        <v>45152</v>
      </c>
      <c r="L230" s="23">
        <v>0.75</v>
      </c>
      <c r="M230" s="5">
        <v>119787</v>
      </c>
      <c r="N230" s="5" t="s">
        <v>55</v>
      </c>
      <c r="O230" s="8" t="s">
        <v>56</v>
      </c>
      <c r="Q230" t="s">
        <v>64</v>
      </c>
      <c r="R230" s="5" t="s">
        <v>58</v>
      </c>
      <c r="S230" s="9">
        <v>10</v>
      </c>
      <c r="T230" s="9">
        <v>5</v>
      </c>
      <c r="U230" s="9">
        <v>5</v>
      </c>
      <c r="V230" s="10">
        <f>Table1[[#This Row],[MARGIN '[€']]]/Table1[[#This Row],[SALES '[€']]]</f>
        <v>0.5</v>
      </c>
      <c r="W230" s="5">
        <v>9215166581</v>
      </c>
      <c r="X230" s="5" t="s">
        <v>622</v>
      </c>
      <c r="Y230" s="4">
        <v>82</v>
      </c>
      <c r="AA230" t="s">
        <v>60</v>
      </c>
      <c r="AL230" t="s">
        <v>61</v>
      </c>
    </row>
    <row r="231" spans="1:38" x14ac:dyDescent="0.25">
      <c r="A231" s="4">
        <v>33</v>
      </c>
      <c r="B231" t="s">
        <v>137</v>
      </c>
      <c r="C231" t="s">
        <v>49</v>
      </c>
      <c r="D231" s="5" t="s">
        <v>50</v>
      </c>
      <c r="E231" t="s">
        <v>51</v>
      </c>
      <c r="F231" s="6">
        <v>45152</v>
      </c>
      <c r="G231" s="7">
        <v>0.58333333333333304</v>
      </c>
      <c r="H231" t="s">
        <v>49</v>
      </c>
      <c r="I231" s="5" t="s">
        <v>102</v>
      </c>
      <c r="J231" t="s">
        <v>103</v>
      </c>
      <c r="K231" s="6">
        <v>45152</v>
      </c>
      <c r="L231" s="23">
        <v>0.64583333333333304</v>
      </c>
      <c r="M231" s="5" t="s">
        <v>623</v>
      </c>
      <c r="N231" s="5" t="s">
        <v>69</v>
      </c>
      <c r="O231" s="8" t="s">
        <v>56</v>
      </c>
      <c r="Q231" t="s">
        <v>117</v>
      </c>
      <c r="R231" s="5" t="s">
        <v>118</v>
      </c>
      <c r="S231" s="9">
        <v>10</v>
      </c>
      <c r="T231" s="9">
        <v>5</v>
      </c>
      <c r="U231" s="9">
        <v>5</v>
      </c>
      <c r="V231" s="10">
        <f>Table1[[#This Row],[MARGIN '[€']]]/Table1[[#This Row],[SALES '[€']]]</f>
        <v>0.5</v>
      </c>
      <c r="W231" s="5">
        <v>9215166583</v>
      </c>
      <c r="X231" s="5" t="s">
        <v>540</v>
      </c>
      <c r="Y231" s="4">
        <v>57</v>
      </c>
      <c r="AA231" t="s">
        <v>89</v>
      </c>
      <c r="AL231" t="s">
        <v>61</v>
      </c>
    </row>
    <row r="232" spans="1:38" x14ac:dyDescent="0.25">
      <c r="A232" s="4">
        <v>33</v>
      </c>
      <c r="B232" t="s">
        <v>137</v>
      </c>
      <c r="C232" t="s">
        <v>49</v>
      </c>
      <c r="D232" s="5" t="s">
        <v>50</v>
      </c>
      <c r="E232" t="s">
        <v>51</v>
      </c>
      <c r="F232" s="6">
        <v>45152</v>
      </c>
      <c r="G232" s="7">
        <v>0.70833333333333304</v>
      </c>
      <c r="H232" t="s">
        <v>49</v>
      </c>
      <c r="I232" s="5" t="s">
        <v>102</v>
      </c>
      <c r="J232" t="s">
        <v>103</v>
      </c>
      <c r="K232" s="6">
        <v>45152</v>
      </c>
      <c r="L232" s="23">
        <v>0.77083333333333304</v>
      </c>
      <c r="M232" s="5" t="s">
        <v>624</v>
      </c>
      <c r="N232" s="5" t="s">
        <v>69</v>
      </c>
      <c r="O232" s="8" t="s">
        <v>56</v>
      </c>
      <c r="Q232" t="s">
        <v>117</v>
      </c>
      <c r="R232" s="5" t="s">
        <v>118</v>
      </c>
      <c r="S232" s="9">
        <v>10</v>
      </c>
      <c r="T232" s="9">
        <v>5</v>
      </c>
      <c r="U232" s="9">
        <v>5</v>
      </c>
      <c r="V232" s="10">
        <f>Table1[[#This Row],[MARGIN '[€']]]/Table1[[#This Row],[SALES '[€']]]</f>
        <v>0.5</v>
      </c>
      <c r="W232" s="5">
        <v>9215166584</v>
      </c>
      <c r="X232" s="5" t="s">
        <v>540</v>
      </c>
      <c r="Y232" s="4">
        <v>57</v>
      </c>
      <c r="AA232" t="s">
        <v>89</v>
      </c>
      <c r="AL232" t="s">
        <v>61</v>
      </c>
    </row>
    <row r="233" spans="1:38" x14ac:dyDescent="0.25">
      <c r="A233" s="4">
        <v>33</v>
      </c>
      <c r="B233" t="s">
        <v>137</v>
      </c>
      <c r="C233" t="s">
        <v>49</v>
      </c>
      <c r="D233" s="5" t="s">
        <v>50</v>
      </c>
      <c r="E233" t="s">
        <v>51</v>
      </c>
      <c r="F233" s="6">
        <v>45152</v>
      </c>
      <c r="G233" s="7">
        <v>0.83333333333333304</v>
      </c>
      <c r="H233" t="s">
        <v>49</v>
      </c>
      <c r="I233" s="5" t="s">
        <v>102</v>
      </c>
      <c r="J233" t="s">
        <v>103</v>
      </c>
      <c r="K233" s="6">
        <v>45153</v>
      </c>
      <c r="L233" s="23">
        <v>0.25</v>
      </c>
      <c r="M233" s="5" t="s">
        <v>625</v>
      </c>
      <c r="N233" s="5" t="s">
        <v>69</v>
      </c>
      <c r="O233" s="8" t="s">
        <v>56</v>
      </c>
      <c r="Q233" t="s">
        <v>117</v>
      </c>
      <c r="R233" s="5" t="s">
        <v>118</v>
      </c>
      <c r="S233" s="9">
        <v>10</v>
      </c>
      <c r="T233" s="9">
        <v>5</v>
      </c>
      <c r="U233" s="9">
        <v>5</v>
      </c>
      <c r="V233" s="10">
        <f>Table1[[#This Row],[MARGIN '[€']]]/Table1[[#This Row],[SALES '[€']]]</f>
        <v>0.5</v>
      </c>
      <c r="W233" s="5">
        <v>9215166585</v>
      </c>
      <c r="X233" s="5" t="s">
        <v>626</v>
      </c>
      <c r="Y233" s="4">
        <v>57</v>
      </c>
      <c r="AA233" t="s">
        <v>89</v>
      </c>
      <c r="AL233" t="s">
        <v>61</v>
      </c>
    </row>
    <row r="234" spans="1:38" x14ac:dyDescent="0.25">
      <c r="A234" s="4">
        <v>33</v>
      </c>
      <c r="B234" t="s">
        <v>137</v>
      </c>
      <c r="C234" t="s">
        <v>49</v>
      </c>
      <c r="D234" s="5" t="s">
        <v>50</v>
      </c>
      <c r="E234" t="s">
        <v>51</v>
      </c>
      <c r="F234" s="6">
        <v>45152</v>
      </c>
      <c r="G234" s="7">
        <v>0.30555555555555503</v>
      </c>
      <c r="H234" t="s">
        <v>49</v>
      </c>
      <c r="I234" s="5" t="s">
        <v>102</v>
      </c>
      <c r="J234" t="s">
        <v>103</v>
      </c>
      <c r="K234" s="6">
        <v>45152</v>
      </c>
      <c r="L234" s="23">
        <v>0.375</v>
      </c>
      <c r="M234" s="5" t="s">
        <v>627</v>
      </c>
      <c r="N234" s="5" t="s">
        <v>69</v>
      </c>
      <c r="O234" s="8" t="s">
        <v>56</v>
      </c>
      <c r="Q234" t="s">
        <v>628</v>
      </c>
      <c r="R234" s="5" t="s">
        <v>500</v>
      </c>
      <c r="S234" s="9">
        <v>10</v>
      </c>
      <c r="T234" s="9">
        <v>5</v>
      </c>
      <c r="U234" s="9">
        <v>5</v>
      </c>
      <c r="V234" s="10">
        <f>Table1[[#This Row],[MARGIN '[€']]]/Table1[[#This Row],[SALES '[€']]]</f>
        <v>0.5</v>
      </c>
      <c r="W234" s="5">
        <v>9215166587</v>
      </c>
      <c r="X234" s="5" t="s">
        <v>629</v>
      </c>
      <c r="Y234" s="4">
        <v>57</v>
      </c>
      <c r="AA234" t="s">
        <v>89</v>
      </c>
      <c r="AL234" t="s">
        <v>61</v>
      </c>
    </row>
    <row r="235" spans="1:38" x14ac:dyDescent="0.25">
      <c r="A235" s="4">
        <v>33</v>
      </c>
      <c r="B235" t="s">
        <v>137</v>
      </c>
      <c r="C235" t="s">
        <v>49</v>
      </c>
      <c r="D235" s="5" t="s">
        <v>50</v>
      </c>
      <c r="E235" t="s">
        <v>51</v>
      </c>
      <c r="F235" s="6">
        <v>45152</v>
      </c>
      <c r="G235" s="7">
        <v>0.41666666666666702</v>
      </c>
      <c r="H235" t="s">
        <v>49</v>
      </c>
      <c r="I235" s="5" t="s">
        <v>102</v>
      </c>
      <c r="J235" t="s">
        <v>103</v>
      </c>
      <c r="K235" s="6">
        <v>45152</v>
      </c>
      <c r="L235" s="23">
        <v>0.47916666666666702</v>
      </c>
      <c r="M235" s="5" t="s">
        <v>630</v>
      </c>
      <c r="N235" s="5" t="s">
        <v>69</v>
      </c>
      <c r="O235" s="8" t="s">
        <v>56</v>
      </c>
      <c r="Q235" t="s">
        <v>628</v>
      </c>
      <c r="R235" s="5" t="s">
        <v>500</v>
      </c>
      <c r="S235" s="9">
        <v>10</v>
      </c>
      <c r="T235" s="9">
        <v>5</v>
      </c>
      <c r="U235" s="9">
        <v>5</v>
      </c>
      <c r="V235" s="10">
        <f>Table1[[#This Row],[MARGIN '[€']]]/Table1[[#This Row],[SALES '[€']]]</f>
        <v>0.5</v>
      </c>
      <c r="W235" s="5">
        <v>9215166588</v>
      </c>
      <c r="X235" s="5" t="s">
        <v>629</v>
      </c>
      <c r="Y235" s="4">
        <v>57</v>
      </c>
      <c r="AA235" t="s">
        <v>89</v>
      </c>
      <c r="AL235" t="s">
        <v>61</v>
      </c>
    </row>
    <row r="236" spans="1:38" x14ac:dyDescent="0.25">
      <c r="A236" s="4">
        <v>33</v>
      </c>
      <c r="B236" t="s">
        <v>137</v>
      </c>
      <c r="C236" t="s">
        <v>49</v>
      </c>
      <c r="D236" s="5" t="s">
        <v>50</v>
      </c>
      <c r="E236" t="s">
        <v>51</v>
      </c>
      <c r="F236" s="6">
        <v>45152</v>
      </c>
      <c r="G236" s="7">
        <v>0.60416666666666696</v>
      </c>
      <c r="H236" t="s">
        <v>49</v>
      </c>
      <c r="I236" s="5" t="s">
        <v>102</v>
      </c>
      <c r="J236" t="s">
        <v>103</v>
      </c>
      <c r="K236" s="6">
        <v>45152</v>
      </c>
      <c r="L236" s="23">
        <v>0.66666666666666696</v>
      </c>
      <c r="M236" s="5" t="s">
        <v>631</v>
      </c>
      <c r="N236" s="5" t="s">
        <v>69</v>
      </c>
      <c r="O236" s="8" t="s">
        <v>56</v>
      </c>
      <c r="Q236" t="s">
        <v>628</v>
      </c>
      <c r="R236" s="5" t="s">
        <v>500</v>
      </c>
      <c r="S236" s="9">
        <v>10</v>
      </c>
      <c r="T236" s="9">
        <v>5</v>
      </c>
      <c r="U236" s="9">
        <v>5</v>
      </c>
      <c r="V236" s="10">
        <f>Table1[[#This Row],[MARGIN '[€']]]/Table1[[#This Row],[SALES '[€']]]</f>
        <v>0.5</v>
      </c>
      <c r="W236" s="5">
        <v>9215166589</v>
      </c>
      <c r="X236" s="5" t="s">
        <v>629</v>
      </c>
      <c r="Y236" s="4">
        <v>57</v>
      </c>
      <c r="AA236" t="s">
        <v>89</v>
      </c>
      <c r="AL236" t="s">
        <v>61</v>
      </c>
    </row>
    <row r="237" spans="1:38" x14ac:dyDescent="0.25">
      <c r="A237" s="4">
        <v>33</v>
      </c>
      <c r="B237" t="s">
        <v>137</v>
      </c>
      <c r="C237" t="s">
        <v>49</v>
      </c>
      <c r="D237" s="5" t="s">
        <v>50</v>
      </c>
      <c r="E237" t="s">
        <v>51</v>
      </c>
      <c r="F237" s="6">
        <v>45152</v>
      </c>
      <c r="G237" s="7">
        <v>0.72222222222222199</v>
      </c>
      <c r="H237" t="s">
        <v>49</v>
      </c>
      <c r="I237" s="5" t="s">
        <v>102</v>
      </c>
      <c r="J237" t="s">
        <v>103</v>
      </c>
      <c r="K237" s="6">
        <v>45152</v>
      </c>
      <c r="L237" s="23">
        <v>0.77083333333333304</v>
      </c>
      <c r="M237" s="5" t="s">
        <v>632</v>
      </c>
      <c r="N237" s="5" t="s">
        <v>69</v>
      </c>
      <c r="O237" s="8" t="s">
        <v>56</v>
      </c>
      <c r="Q237" t="s">
        <v>628</v>
      </c>
      <c r="R237" s="5" t="s">
        <v>500</v>
      </c>
      <c r="S237" s="9">
        <v>10</v>
      </c>
      <c r="T237" s="9">
        <v>5</v>
      </c>
      <c r="U237" s="9">
        <v>5</v>
      </c>
      <c r="V237" s="10">
        <f>Table1[[#This Row],[MARGIN '[€']]]/Table1[[#This Row],[SALES '[€']]]</f>
        <v>0.5</v>
      </c>
      <c r="W237" s="5">
        <v>9215166590</v>
      </c>
      <c r="X237" s="5" t="s">
        <v>629</v>
      </c>
      <c r="Y237" s="4">
        <v>57</v>
      </c>
      <c r="AA237" t="s">
        <v>89</v>
      </c>
      <c r="AL237" t="s">
        <v>61</v>
      </c>
    </row>
    <row r="238" spans="1:38" x14ac:dyDescent="0.25">
      <c r="A238" s="4">
        <v>33</v>
      </c>
      <c r="B238" t="s">
        <v>137</v>
      </c>
      <c r="C238" t="s">
        <v>52</v>
      </c>
      <c r="D238" s="5" t="s">
        <v>53</v>
      </c>
      <c r="E238" t="s">
        <v>54</v>
      </c>
      <c r="F238" s="6">
        <v>45152</v>
      </c>
      <c r="G238" s="7">
        <v>0.16666666666666699</v>
      </c>
      <c r="H238" t="s">
        <v>49</v>
      </c>
      <c r="I238" s="5" t="s">
        <v>50</v>
      </c>
      <c r="J238" t="s">
        <v>51</v>
      </c>
      <c r="K238" s="6">
        <v>45152</v>
      </c>
      <c r="L238" s="23">
        <v>0.75</v>
      </c>
      <c r="M238" s="5" t="s">
        <v>633</v>
      </c>
      <c r="N238" s="5" t="s">
        <v>55</v>
      </c>
      <c r="O238" s="8" t="s">
        <v>56</v>
      </c>
      <c r="P238" t="s">
        <v>76</v>
      </c>
      <c r="Q238" t="s">
        <v>57</v>
      </c>
      <c r="R238" s="5" t="s">
        <v>58</v>
      </c>
      <c r="S238" s="9">
        <v>10</v>
      </c>
      <c r="T238" s="9">
        <v>5</v>
      </c>
      <c r="U238" s="9">
        <v>5</v>
      </c>
      <c r="V238" s="10">
        <f>Table1[[#This Row],[MARGIN '[€']]]/Table1[[#This Row],[SALES '[€']]]</f>
        <v>0.5</v>
      </c>
      <c r="W238" s="5">
        <v>9215166602</v>
      </c>
      <c r="X238" s="5" t="s">
        <v>634</v>
      </c>
      <c r="Y238" s="4">
        <v>82</v>
      </c>
      <c r="AA238" t="s">
        <v>60</v>
      </c>
      <c r="AL238" t="s">
        <v>61</v>
      </c>
    </row>
    <row r="239" spans="1:38" x14ac:dyDescent="0.25">
      <c r="A239" s="4">
        <v>33</v>
      </c>
      <c r="B239" t="s">
        <v>137</v>
      </c>
      <c r="C239" t="s">
        <v>52</v>
      </c>
      <c r="D239" s="5" t="s">
        <v>53</v>
      </c>
      <c r="E239" t="s">
        <v>54</v>
      </c>
      <c r="F239" s="6">
        <v>45152</v>
      </c>
      <c r="G239" s="7">
        <v>0.16666666666666699</v>
      </c>
      <c r="H239" t="s">
        <v>49</v>
      </c>
      <c r="I239" s="5" t="s">
        <v>50</v>
      </c>
      <c r="J239" t="s">
        <v>51</v>
      </c>
      <c r="K239" s="6">
        <v>45152</v>
      </c>
      <c r="L239" s="23">
        <v>0.75</v>
      </c>
      <c r="M239" s="5" t="s">
        <v>635</v>
      </c>
      <c r="N239" s="5" t="s">
        <v>55</v>
      </c>
      <c r="O239" s="8" t="s">
        <v>56</v>
      </c>
      <c r="P239" t="s">
        <v>76</v>
      </c>
      <c r="Q239" t="s">
        <v>62</v>
      </c>
      <c r="R239" s="5" t="s">
        <v>58</v>
      </c>
      <c r="S239" s="9">
        <v>10</v>
      </c>
      <c r="T239" s="9">
        <v>5</v>
      </c>
      <c r="U239" s="9">
        <v>5</v>
      </c>
      <c r="V239" s="10">
        <f>Table1[[#This Row],[MARGIN '[€']]]/Table1[[#This Row],[SALES '[€']]]</f>
        <v>0.5</v>
      </c>
      <c r="W239" s="5">
        <v>9215166603</v>
      </c>
      <c r="X239" s="5" t="s">
        <v>636</v>
      </c>
      <c r="Y239" s="4">
        <v>82</v>
      </c>
      <c r="AA239" t="s">
        <v>60</v>
      </c>
      <c r="AL239" t="s">
        <v>61</v>
      </c>
    </row>
    <row r="240" spans="1:38" x14ac:dyDescent="0.25">
      <c r="A240" s="4">
        <v>33</v>
      </c>
      <c r="B240" t="s">
        <v>137</v>
      </c>
      <c r="C240" t="s">
        <v>52</v>
      </c>
      <c r="D240" s="5" t="s">
        <v>53</v>
      </c>
      <c r="E240" t="s">
        <v>54</v>
      </c>
      <c r="F240" s="6">
        <v>45152</v>
      </c>
      <c r="G240" s="7">
        <v>0.16666666666666699</v>
      </c>
      <c r="H240" t="s">
        <v>49</v>
      </c>
      <c r="I240" s="5" t="s">
        <v>50</v>
      </c>
      <c r="J240" t="s">
        <v>51</v>
      </c>
      <c r="K240" s="6">
        <v>45152</v>
      </c>
      <c r="L240" s="23">
        <v>0.75</v>
      </c>
      <c r="M240" s="5" t="s">
        <v>637</v>
      </c>
      <c r="N240" s="5" t="s">
        <v>55</v>
      </c>
      <c r="O240" s="8" t="s">
        <v>56</v>
      </c>
      <c r="P240" t="s">
        <v>76</v>
      </c>
      <c r="Q240" t="s">
        <v>64</v>
      </c>
      <c r="R240" s="5" t="s">
        <v>58</v>
      </c>
      <c r="S240" s="9">
        <v>10</v>
      </c>
      <c r="T240" s="9">
        <v>5</v>
      </c>
      <c r="U240" s="9">
        <v>5</v>
      </c>
      <c r="V240" s="10">
        <f>Table1[[#This Row],[MARGIN '[€']]]/Table1[[#This Row],[SALES '[€']]]</f>
        <v>0.5</v>
      </c>
      <c r="W240" s="5">
        <v>9215166604</v>
      </c>
      <c r="X240" s="5" t="s">
        <v>638</v>
      </c>
      <c r="Y240" s="4">
        <v>82</v>
      </c>
      <c r="AA240" t="s">
        <v>60</v>
      </c>
      <c r="AL240" t="s">
        <v>61</v>
      </c>
    </row>
    <row r="241" spans="1:40" x14ac:dyDescent="0.25">
      <c r="A241" s="4">
        <v>33</v>
      </c>
      <c r="B241" t="s">
        <v>137</v>
      </c>
      <c r="C241" t="s">
        <v>49</v>
      </c>
      <c r="D241" s="5" t="s">
        <v>50</v>
      </c>
      <c r="E241" t="s">
        <v>51</v>
      </c>
      <c r="F241" s="6">
        <v>45152</v>
      </c>
      <c r="G241" s="7">
        <v>0.54166666666666696</v>
      </c>
      <c r="H241" t="s">
        <v>138</v>
      </c>
      <c r="I241" s="5" t="s">
        <v>139</v>
      </c>
      <c r="J241" t="s">
        <v>140</v>
      </c>
      <c r="K241" s="6">
        <v>45154</v>
      </c>
      <c r="L241" s="23">
        <v>0.60416666666666696</v>
      </c>
      <c r="M241" s="5" t="s">
        <v>639</v>
      </c>
      <c r="N241" s="5" t="s">
        <v>142</v>
      </c>
      <c r="O241" s="8" t="s">
        <v>56</v>
      </c>
      <c r="P241" t="s">
        <v>280</v>
      </c>
      <c r="Q241" t="s">
        <v>640</v>
      </c>
      <c r="R241" s="5" t="s">
        <v>641</v>
      </c>
      <c r="S241" s="9">
        <v>10</v>
      </c>
      <c r="T241" s="9">
        <v>5</v>
      </c>
      <c r="U241" s="9">
        <v>5</v>
      </c>
      <c r="V241" s="10">
        <f>Table1[[#This Row],[MARGIN '[€']]]/Table1[[#This Row],[SALES '[€']]]</f>
        <v>0.5</v>
      </c>
      <c r="W241" s="5">
        <v>9215166601</v>
      </c>
      <c r="X241" s="5" t="s">
        <v>642</v>
      </c>
      <c r="Y241" s="4">
        <v>1360</v>
      </c>
      <c r="AA241" t="s">
        <v>60</v>
      </c>
      <c r="AL241" t="s">
        <v>61</v>
      </c>
    </row>
    <row r="242" spans="1:40" x14ac:dyDescent="0.25">
      <c r="A242" s="4">
        <v>33</v>
      </c>
      <c r="B242" t="s">
        <v>476</v>
      </c>
      <c r="C242" t="s">
        <v>153</v>
      </c>
      <c r="D242" s="5" t="s">
        <v>477</v>
      </c>
      <c r="E242" t="s">
        <v>478</v>
      </c>
      <c r="F242" s="6">
        <v>45153</v>
      </c>
      <c r="G242" s="7">
        <v>0.79166666666666696</v>
      </c>
      <c r="H242" t="s">
        <v>49</v>
      </c>
      <c r="I242" s="5" t="s">
        <v>479</v>
      </c>
      <c r="J242" t="s">
        <v>480</v>
      </c>
      <c r="K242" s="6">
        <v>45157</v>
      </c>
      <c r="L242" s="23">
        <v>0.41666666666666702</v>
      </c>
      <c r="N242" s="5" t="s">
        <v>55</v>
      </c>
      <c r="O242" s="8" t="s">
        <v>56</v>
      </c>
      <c r="P242" t="s">
        <v>238</v>
      </c>
      <c r="Q242" t="s">
        <v>643</v>
      </c>
      <c r="R242" s="5" t="s">
        <v>482</v>
      </c>
      <c r="S242" s="9">
        <v>10</v>
      </c>
      <c r="T242" s="9">
        <v>5</v>
      </c>
      <c r="U242" s="9">
        <v>5</v>
      </c>
      <c r="V242" s="10">
        <f>Table1[[#This Row],[MARGIN '[€']]]/Table1[[#This Row],[SALES '[€']]]</f>
        <v>0.5</v>
      </c>
      <c r="W242" s="5">
        <v>9215166394</v>
      </c>
      <c r="X242" s="5" t="s">
        <v>644</v>
      </c>
      <c r="Y242" s="4">
        <v>1900</v>
      </c>
      <c r="AA242" t="s">
        <v>73</v>
      </c>
      <c r="AL242" t="s">
        <v>61</v>
      </c>
    </row>
    <row r="243" spans="1:40" x14ac:dyDescent="0.25">
      <c r="A243" s="4">
        <v>33</v>
      </c>
      <c r="B243" t="s">
        <v>152</v>
      </c>
      <c r="C243" t="s">
        <v>153</v>
      </c>
      <c r="D243" s="5" t="s">
        <v>283</v>
      </c>
      <c r="E243" t="s">
        <v>284</v>
      </c>
      <c r="F243" s="6">
        <v>45153</v>
      </c>
      <c r="G243" s="7">
        <v>0.5</v>
      </c>
      <c r="H243" t="s">
        <v>49</v>
      </c>
      <c r="I243" s="5" t="s">
        <v>156</v>
      </c>
      <c r="J243" t="s">
        <v>285</v>
      </c>
      <c r="K243" s="6">
        <v>45159</v>
      </c>
      <c r="L243" s="23">
        <v>0.5</v>
      </c>
      <c r="M243" s="5" t="s">
        <v>645</v>
      </c>
      <c r="N243" s="5" t="s">
        <v>142</v>
      </c>
      <c r="O243" s="8" t="s">
        <v>159</v>
      </c>
      <c r="P243">
        <v>2000</v>
      </c>
      <c r="Q243" t="s">
        <v>646</v>
      </c>
      <c r="R243" s="5" t="s">
        <v>161</v>
      </c>
      <c r="S243" s="9">
        <v>10</v>
      </c>
      <c r="T243" s="9">
        <v>5</v>
      </c>
      <c r="U243" s="9">
        <v>5</v>
      </c>
      <c r="V243" s="10">
        <f>Table1[[#This Row],[MARGIN '[€']]]/Table1[[#This Row],[SALES '[€']]]</f>
        <v>0.5</v>
      </c>
      <c r="W243" s="5">
        <v>9215166532</v>
      </c>
      <c r="X243" s="5" t="s">
        <v>647</v>
      </c>
      <c r="Y243" s="4">
        <v>1912</v>
      </c>
      <c r="AA243" t="s">
        <v>60</v>
      </c>
      <c r="AD243">
        <v>4</v>
      </c>
      <c r="AE243" s="3">
        <v>1</v>
      </c>
      <c r="AL243" t="s">
        <v>61</v>
      </c>
    </row>
    <row r="244" spans="1:40" x14ac:dyDescent="0.25">
      <c r="A244" s="4">
        <v>33</v>
      </c>
      <c r="B244" t="s">
        <v>333</v>
      </c>
      <c r="C244" t="s">
        <v>49</v>
      </c>
      <c r="D244" s="5" t="s">
        <v>334</v>
      </c>
      <c r="E244" t="s">
        <v>335</v>
      </c>
      <c r="F244" s="6">
        <v>45153</v>
      </c>
      <c r="G244" s="7">
        <v>0.70833333333333304</v>
      </c>
      <c r="H244" t="s">
        <v>138</v>
      </c>
      <c r="I244" s="5" t="s">
        <v>648</v>
      </c>
      <c r="J244" t="s">
        <v>649</v>
      </c>
      <c r="K244" s="6">
        <v>45156</v>
      </c>
      <c r="L244" s="23">
        <v>0.5625</v>
      </c>
      <c r="M244" s="5">
        <v>1002928533</v>
      </c>
      <c r="N244" s="5" t="s">
        <v>337</v>
      </c>
      <c r="O244" s="8" t="s">
        <v>338</v>
      </c>
      <c r="P244" t="s">
        <v>393</v>
      </c>
      <c r="Q244" t="s">
        <v>650</v>
      </c>
      <c r="R244" s="5" t="s">
        <v>452</v>
      </c>
      <c r="S244" s="9">
        <v>10</v>
      </c>
      <c r="T244" s="9">
        <v>5</v>
      </c>
      <c r="U244" s="9">
        <v>5</v>
      </c>
      <c r="V244" s="10">
        <f>Table1[[#This Row],[MARGIN '[€']]]/Table1[[#This Row],[SALES '[€']]]</f>
        <v>0.5</v>
      </c>
      <c r="W244" s="5" t="s">
        <v>651</v>
      </c>
      <c r="X244" s="5" t="s">
        <v>652</v>
      </c>
      <c r="Y244" s="4">
        <v>1650</v>
      </c>
      <c r="Z244" t="s">
        <v>339</v>
      </c>
      <c r="AA244" t="s">
        <v>342</v>
      </c>
      <c r="AL244" t="s">
        <v>61</v>
      </c>
    </row>
    <row r="245" spans="1:40" x14ac:dyDescent="0.25">
      <c r="A245" s="4">
        <v>33</v>
      </c>
      <c r="B245" t="s">
        <v>333</v>
      </c>
      <c r="C245" t="s">
        <v>49</v>
      </c>
      <c r="D245" s="5" t="s">
        <v>334</v>
      </c>
      <c r="E245" t="s">
        <v>335</v>
      </c>
      <c r="F245" s="6">
        <v>45153</v>
      </c>
      <c r="G245" s="7">
        <v>0.79166666666666696</v>
      </c>
      <c r="H245" t="s">
        <v>49</v>
      </c>
      <c r="I245" s="5">
        <v>90</v>
      </c>
      <c r="J245" t="s">
        <v>653</v>
      </c>
      <c r="K245" s="6">
        <v>45154</v>
      </c>
      <c r="L245" s="23" t="s">
        <v>568</v>
      </c>
      <c r="M245" s="5">
        <v>1002927795</v>
      </c>
      <c r="N245" s="5" t="s">
        <v>337</v>
      </c>
      <c r="O245" s="8" t="s">
        <v>338</v>
      </c>
      <c r="P245" t="s">
        <v>654</v>
      </c>
      <c r="Q245" t="s">
        <v>568</v>
      </c>
      <c r="R245" s="5" t="s">
        <v>339</v>
      </c>
      <c r="S245" s="9">
        <v>10</v>
      </c>
      <c r="T245" s="9">
        <v>5</v>
      </c>
      <c r="U245" s="9">
        <v>5</v>
      </c>
      <c r="V245" s="10">
        <f>Table1[[#This Row],[MARGIN '[€']]]/Table1[[#This Row],[SALES '[€']]]</f>
        <v>0.5</v>
      </c>
      <c r="W245" s="5" t="s">
        <v>339</v>
      </c>
      <c r="X245" s="5" t="s">
        <v>339</v>
      </c>
      <c r="Y245" s="4" t="s">
        <v>339</v>
      </c>
      <c r="Z245" t="s">
        <v>339</v>
      </c>
      <c r="AA245" t="s">
        <v>339</v>
      </c>
      <c r="AL245" t="s">
        <v>214</v>
      </c>
    </row>
    <row r="246" spans="1:40" x14ac:dyDescent="0.25">
      <c r="A246" s="4">
        <v>33</v>
      </c>
      <c r="B246" t="s">
        <v>333</v>
      </c>
      <c r="C246" t="s">
        <v>49</v>
      </c>
      <c r="D246" s="5" t="s">
        <v>334</v>
      </c>
      <c r="E246" t="s">
        <v>335</v>
      </c>
      <c r="F246" s="6">
        <v>45153</v>
      </c>
      <c r="G246" s="7">
        <v>0.70833333333333304</v>
      </c>
      <c r="H246" t="s">
        <v>138</v>
      </c>
      <c r="I246" s="5">
        <v>77</v>
      </c>
      <c r="J246" t="s">
        <v>655</v>
      </c>
      <c r="K246" s="6">
        <v>45156</v>
      </c>
      <c r="L246" s="23">
        <v>0.375</v>
      </c>
      <c r="M246" s="5">
        <v>1002928534</v>
      </c>
      <c r="N246" s="5" t="s">
        <v>337</v>
      </c>
      <c r="O246" s="8" t="s">
        <v>338</v>
      </c>
      <c r="Q246" t="s">
        <v>610</v>
      </c>
      <c r="R246" s="5" t="s">
        <v>611</v>
      </c>
      <c r="S246" s="9">
        <v>10</v>
      </c>
      <c r="T246" s="9">
        <v>5</v>
      </c>
      <c r="U246" s="9">
        <v>5</v>
      </c>
      <c r="V246" s="10">
        <f>Table1[[#This Row],[MARGIN '[€']]]/Table1[[#This Row],[SALES '[€']]]</f>
        <v>0.5</v>
      </c>
      <c r="W246" s="5" t="s">
        <v>656</v>
      </c>
      <c r="X246" s="5" t="s">
        <v>657</v>
      </c>
      <c r="Y246" s="4">
        <v>1637</v>
      </c>
      <c r="Z246">
        <v>86</v>
      </c>
      <c r="AA246" t="s">
        <v>163</v>
      </c>
      <c r="AL246" t="s">
        <v>61</v>
      </c>
      <c r="AN246">
        <v>921</v>
      </c>
    </row>
    <row r="247" spans="1:40" x14ac:dyDescent="0.25">
      <c r="A247" s="4">
        <v>33</v>
      </c>
      <c r="B247" t="s">
        <v>333</v>
      </c>
      <c r="C247" t="s">
        <v>49</v>
      </c>
      <c r="D247" s="5" t="s">
        <v>334</v>
      </c>
      <c r="E247" t="s">
        <v>335</v>
      </c>
      <c r="F247" s="6">
        <v>45153</v>
      </c>
      <c r="G247" s="7">
        <v>0.375</v>
      </c>
      <c r="H247" t="s">
        <v>138</v>
      </c>
      <c r="I247" s="5">
        <v>62</v>
      </c>
      <c r="J247" t="s">
        <v>397</v>
      </c>
      <c r="K247" s="6">
        <v>45156</v>
      </c>
      <c r="L247" s="23">
        <v>0.25</v>
      </c>
      <c r="M247" s="5">
        <v>1002926792</v>
      </c>
      <c r="N247" s="5" t="s">
        <v>337</v>
      </c>
      <c r="O247" s="8" t="s">
        <v>338</v>
      </c>
      <c r="P247" t="s">
        <v>339</v>
      </c>
      <c r="Q247" t="s">
        <v>658</v>
      </c>
      <c r="R247" s="5" t="s">
        <v>659</v>
      </c>
      <c r="S247" s="9">
        <v>10</v>
      </c>
      <c r="T247" s="9">
        <v>5</v>
      </c>
      <c r="U247" s="9">
        <v>5</v>
      </c>
      <c r="V247" s="10">
        <f>Table1[[#This Row],[MARGIN '[€']]]/Table1[[#This Row],[SALES '[€']]]</f>
        <v>0.5</v>
      </c>
      <c r="W247" s="5" t="s">
        <v>660</v>
      </c>
      <c r="X247" s="5" t="s">
        <v>661</v>
      </c>
      <c r="Y247" s="4">
        <v>1587</v>
      </c>
      <c r="Z247">
        <v>5</v>
      </c>
      <c r="AA247" t="s">
        <v>163</v>
      </c>
      <c r="AL247" t="s">
        <v>61</v>
      </c>
      <c r="AN247">
        <v>921</v>
      </c>
    </row>
    <row r="248" spans="1:40" x14ac:dyDescent="0.25">
      <c r="A248" s="4">
        <v>33</v>
      </c>
      <c r="B248" t="s">
        <v>333</v>
      </c>
      <c r="C248" t="s">
        <v>49</v>
      </c>
      <c r="D248" s="5" t="s">
        <v>334</v>
      </c>
      <c r="E248" t="s">
        <v>335</v>
      </c>
      <c r="F248" s="6">
        <v>45153</v>
      </c>
      <c r="G248" s="7">
        <v>0.70833333333333304</v>
      </c>
      <c r="H248" t="s">
        <v>138</v>
      </c>
      <c r="I248" s="5">
        <v>62</v>
      </c>
      <c r="J248" t="s">
        <v>397</v>
      </c>
      <c r="K248" s="6">
        <v>45156</v>
      </c>
      <c r="L248" s="23">
        <v>0.375</v>
      </c>
      <c r="M248" s="5">
        <v>1002928270</v>
      </c>
      <c r="N248" s="5" t="s">
        <v>337</v>
      </c>
      <c r="O248" s="8" t="s">
        <v>338</v>
      </c>
      <c r="P248" t="s">
        <v>393</v>
      </c>
      <c r="Q248" t="s">
        <v>662</v>
      </c>
      <c r="R248" s="5" t="s">
        <v>573</v>
      </c>
      <c r="S248" s="9">
        <v>10</v>
      </c>
      <c r="T248" s="9">
        <v>5</v>
      </c>
      <c r="U248" s="9">
        <v>5</v>
      </c>
      <c r="V248" s="10">
        <f>Table1[[#This Row],[MARGIN '[€']]]/Table1[[#This Row],[SALES '[€']]]</f>
        <v>0.5</v>
      </c>
      <c r="W248" s="5" t="s">
        <v>663</v>
      </c>
      <c r="X248" s="5" t="s">
        <v>664</v>
      </c>
      <c r="Y248" s="4">
        <v>1570</v>
      </c>
      <c r="Z248" t="s">
        <v>339</v>
      </c>
      <c r="AA248" t="s">
        <v>342</v>
      </c>
      <c r="AL248" t="s">
        <v>61</v>
      </c>
    </row>
    <row r="249" spans="1:40" x14ac:dyDescent="0.25">
      <c r="A249" s="4">
        <v>33</v>
      </c>
      <c r="B249" t="s">
        <v>333</v>
      </c>
      <c r="C249" t="s">
        <v>49</v>
      </c>
      <c r="D249" s="5" t="s">
        <v>334</v>
      </c>
      <c r="E249" t="s">
        <v>335</v>
      </c>
      <c r="F249" s="6">
        <v>45153</v>
      </c>
      <c r="G249" s="7">
        <v>0.79166666666666696</v>
      </c>
      <c r="H249" t="s">
        <v>138</v>
      </c>
      <c r="I249" s="5">
        <v>38</v>
      </c>
      <c r="J249" t="s">
        <v>665</v>
      </c>
      <c r="K249" s="6">
        <v>45156</v>
      </c>
      <c r="L249" s="23">
        <v>0.3125</v>
      </c>
      <c r="M249" s="5">
        <v>1002928106</v>
      </c>
      <c r="N249" s="5" t="s">
        <v>337</v>
      </c>
      <c r="O249" s="8" t="s">
        <v>338</v>
      </c>
      <c r="P249" t="s">
        <v>339</v>
      </c>
      <c r="Q249" t="s">
        <v>666</v>
      </c>
      <c r="R249" s="5" t="s">
        <v>513</v>
      </c>
      <c r="S249" s="9">
        <v>10</v>
      </c>
      <c r="T249" s="9">
        <v>5</v>
      </c>
      <c r="U249" s="9">
        <v>5</v>
      </c>
      <c r="V249" s="10">
        <f>Table1[[#This Row],[MARGIN '[€']]]/Table1[[#This Row],[SALES '[€']]]</f>
        <v>0.5</v>
      </c>
      <c r="W249" s="5" t="s">
        <v>667</v>
      </c>
      <c r="X249" s="5" t="s">
        <v>668</v>
      </c>
      <c r="Y249" s="4">
        <v>1629</v>
      </c>
      <c r="Z249" t="s">
        <v>339</v>
      </c>
      <c r="AA249" t="s">
        <v>342</v>
      </c>
      <c r="AL249" t="s">
        <v>61</v>
      </c>
    </row>
    <row r="250" spans="1:40" x14ac:dyDescent="0.25">
      <c r="A250" s="4">
        <v>33</v>
      </c>
      <c r="B250" t="s">
        <v>333</v>
      </c>
      <c r="C250" t="s">
        <v>49</v>
      </c>
      <c r="D250" s="5" t="s">
        <v>334</v>
      </c>
      <c r="E250" t="s">
        <v>335</v>
      </c>
      <c r="F250" s="6">
        <v>45153</v>
      </c>
      <c r="G250" s="7">
        <v>0.64583333333333304</v>
      </c>
      <c r="H250" t="s">
        <v>138</v>
      </c>
      <c r="I250" s="5">
        <v>38</v>
      </c>
      <c r="J250" t="s">
        <v>665</v>
      </c>
      <c r="K250" s="6">
        <v>45156</v>
      </c>
      <c r="L250" s="23">
        <v>0.27083333333333298</v>
      </c>
      <c r="M250" s="5">
        <v>1002932724</v>
      </c>
      <c r="N250" s="5" t="s">
        <v>337</v>
      </c>
      <c r="O250" s="8" t="s">
        <v>338</v>
      </c>
      <c r="Q250" t="s">
        <v>669</v>
      </c>
      <c r="R250" s="5" t="s">
        <v>573</v>
      </c>
      <c r="S250" s="9">
        <v>10</v>
      </c>
      <c r="T250" s="9">
        <v>5</v>
      </c>
      <c r="U250" s="9">
        <v>5</v>
      </c>
      <c r="V250" s="10">
        <f>Table1[[#This Row],[MARGIN '[€']]]/Table1[[#This Row],[SALES '[€']]]</f>
        <v>0.5</v>
      </c>
      <c r="W250" s="5">
        <v>9215166527</v>
      </c>
      <c r="X250" s="5" t="s">
        <v>670</v>
      </c>
      <c r="Y250" s="4">
        <v>1629</v>
      </c>
      <c r="AA250" t="s">
        <v>342</v>
      </c>
      <c r="AL250" t="s">
        <v>61</v>
      </c>
    </row>
    <row r="251" spans="1:40" x14ac:dyDescent="0.25">
      <c r="A251" s="4">
        <v>33</v>
      </c>
      <c r="B251" t="s">
        <v>333</v>
      </c>
      <c r="C251" t="s">
        <v>49</v>
      </c>
      <c r="D251" s="5" t="s">
        <v>334</v>
      </c>
      <c r="E251" t="s">
        <v>335</v>
      </c>
      <c r="F251" s="6">
        <v>45153</v>
      </c>
      <c r="G251" s="7">
        <v>0.64583333333333304</v>
      </c>
      <c r="H251" t="s">
        <v>138</v>
      </c>
      <c r="I251" s="5">
        <v>69</v>
      </c>
      <c r="J251" t="s">
        <v>671</v>
      </c>
      <c r="K251" s="6">
        <v>45156</v>
      </c>
      <c r="L251" s="23">
        <v>0.33333333333333298</v>
      </c>
      <c r="M251" s="5">
        <v>1002943445</v>
      </c>
      <c r="N251" s="5" t="s">
        <v>337</v>
      </c>
      <c r="O251" s="8" t="s">
        <v>338</v>
      </c>
      <c r="Q251" t="s">
        <v>672</v>
      </c>
      <c r="R251" s="5" t="s">
        <v>641</v>
      </c>
      <c r="S251" s="9">
        <v>10</v>
      </c>
      <c r="T251" s="9">
        <v>5</v>
      </c>
      <c r="U251" s="9">
        <v>5</v>
      </c>
      <c r="V251" s="10">
        <f>Table1[[#This Row],[MARGIN '[€']]]/Table1[[#This Row],[SALES '[€']]]</f>
        <v>0.5</v>
      </c>
      <c r="W251" s="5">
        <v>9215166533</v>
      </c>
      <c r="X251" s="5" t="s">
        <v>673</v>
      </c>
      <c r="Y251" s="4">
        <v>1650</v>
      </c>
      <c r="AA251" t="s">
        <v>342</v>
      </c>
      <c r="AL251" t="s">
        <v>61</v>
      </c>
    </row>
    <row r="252" spans="1:40" x14ac:dyDescent="0.25">
      <c r="A252" s="4">
        <v>33</v>
      </c>
      <c r="B252" t="s">
        <v>333</v>
      </c>
      <c r="C252" t="s">
        <v>49</v>
      </c>
      <c r="D252" s="5" t="s">
        <v>334</v>
      </c>
      <c r="E252" t="s">
        <v>335</v>
      </c>
      <c r="F252" s="6">
        <v>45153</v>
      </c>
      <c r="G252" s="7">
        <v>0.79166666666666696</v>
      </c>
      <c r="H252" t="s">
        <v>138</v>
      </c>
      <c r="I252" s="5">
        <v>69</v>
      </c>
      <c r="J252" t="s">
        <v>671</v>
      </c>
      <c r="K252" s="6">
        <v>45156</v>
      </c>
      <c r="L252" s="3">
        <v>0.41666666666666702</v>
      </c>
      <c r="M252" s="5">
        <v>1002948223</v>
      </c>
      <c r="N252" s="5" t="s">
        <v>337</v>
      </c>
      <c r="O252" s="8" t="s">
        <v>387</v>
      </c>
      <c r="Q252" t="s">
        <v>674</v>
      </c>
      <c r="R252" s="5" t="s">
        <v>513</v>
      </c>
      <c r="S252" s="9">
        <v>10</v>
      </c>
      <c r="T252" s="9">
        <v>5</v>
      </c>
      <c r="U252" s="9">
        <v>5</v>
      </c>
      <c r="V252" s="10">
        <f>Table1[[#This Row],[MARGIN '[€']]]/Table1[[#This Row],[SALES '[€']]]</f>
        <v>0.5</v>
      </c>
      <c r="W252" s="5">
        <v>9215166615</v>
      </c>
      <c r="X252" s="5" t="s">
        <v>675</v>
      </c>
      <c r="Y252" s="4">
        <v>1650</v>
      </c>
      <c r="AA252" t="s">
        <v>342</v>
      </c>
      <c r="AL252" t="s">
        <v>61</v>
      </c>
    </row>
    <row r="253" spans="1:40" x14ac:dyDescent="0.25">
      <c r="A253" s="4">
        <v>33</v>
      </c>
      <c r="B253" t="s">
        <v>234</v>
      </c>
      <c r="C253" t="s">
        <v>49</v>
      </c>
      <c r="D253" s="5" t="s">
        <v>50</v>
      </c>
      <c r="E253" t="s">
        <v>235</v>
      </c>
      <c r="F253" s="6">
        <v>45153</v>
      </c>
      <c r="G253" s="7">
        <v>0.91666666666666696</v>
      </c>
      <c r="H253" t="s">
        <v>216</v>
      </c>
      <c r="I253" s="5" t="s">
        <v>236</v>
      </c>
      <c r="J253" t="s">
        <v>237</v>
      </c>
      <c r="K253" s="6">
        <v>45154</v>
      </c>
      <c r="L253" s="23">
        <v>0.75</v>
      </c>
      <c r="N253" s="5" t="s">
        <v>142</v>
      </c>
      <c r="O253" s="8" t="s">
        <v>450</v>
      </c>
      <c r="Q253" t="s">
        <v>676</v>
      </c>
      <c r="R253" s="5" t="s">
        <v>452</v>
      </c>
      <c r="S253" s="9">
        <v>10</v>
      </c>
      <c r="T253" s="9">
        <v>5</v>
      </c>
      <c r="U253" s="9">
        <v>5</v>
      </c>
      <c r="V253" s="10">
        <f>Table1[[#This Row],[MARGIN '[€']]]/Table1[[#This Row],[SALES '[€']]]</f>
        <v>0.5</v>
      </c>
      <c r="W253" s="5" t="s">
        <v>677</v>
      </c>
      <c r="X253" s="5" t="s">
        <v>678</v>
      </c>
      <c r="Y253" s="4">
        <v>656</v>
      </c>
      <c r="AA253" t="s">
        <v>163</v>
      </c>
      <c r="AL253" t="s">
        <v>61</v>
      </c>
    </row>
    <row r="254" spans="1:40" x14ac:dyDescent="0.25">
      <c r="A254" s="4">
        <v>33</v>
      </c>
      <c r="B254" t="s">
        <v>48</v>
      </c>
      <c r="C254" t="s">
        <v>49</v>
      </c>
      <c r="D254" s="5" t="s">
        <v>102</v>
      </c>
      <c r="E254" t="s">
        <v>103</v>
      </c>
      <c r="F254" s="6">
        <v>45153</v>
      </c>
      <c r="G254" s="7">
        <v>0.25</v>
      </c>
      <c r="H254" t="s">
        <v>90</v>
      </c>
      <c r="I254" s="5">
        <v>23</v>
      </c>
      <c r="J254" t="s">
        <v>133</v>
      </c>
      <c r="K254" s="6">
        <v>45154</v>
      </c>
      <c r="L254" s="23">
        <v>0.29166666666666702</v>
      </c>
      <c r="M254" s="5">
        <v>119736</v>
      </c>
      <c r="N254" s="5" t="s">
        <v>69</v>
      </c>
      <c r="O254" s="8" t="s">
        <v>56</v>
      </c>
      <c r="Q254" t="s">
        <v>679</v>
      </c>
      <c r="R254" s="5" t="s">
        <v>94</v>
      </c>
      <c r="S254" s="9">
        <v>10</v>
      </c>
      <c r="T254" s="9">
        <v>5</v>
      </c>
      <c r="U254" s="9">
        <v>5</v>
      </c>
      <c r="V254" s="10">
        <f>Table1[[#This Row],[MARGIN '[€']]]/Table1[[#This Row],[SALES '[€']]]</f>
        <v>0.5</v>
      </c>
      <c r="W254" s="5">
        <v>9215166616</v>
      </c>
      <c r="X254" s="5" t="s">
        <v>680</v>
      </c>
      <c r="Y254" s="4">
        <v>483</v>
      </c>
      <c r="AA254" t="s">
        <v>89</v>
      </c>
      <c r="AL254" t="s">
        <v>61</v>
      </c>
    </row>
    <row r="255" spans="1:40" x14ac:dyDescent="0.25">
      <c r="A255" s="4">
        <v>33</v>
      </c>
      <c r="B255" t="s">
        <v>137</v>
      </c>
      <c r="C255" t="s">
        <v>49</v>
      </c>
      <c r="D255" s="5" t="s">
        <v>50</v>
      </c>
      <c r="E255" t="s">
        <v>51</v>
      </c>
      <c r="F255" s="6">
        <v>45153</v>
      </c>
      <c r="G255" s="7">
        <v>0.33333333333333298</v>
      </c>
      <c r="H255" t="s">
        <v>49</v>
      </c>
      <c r="I255" s="5" t="s">
        <v>50</v>
      </c>
      <c r="J255" t="s">
        <v>681</v>
      </c>
      <c r="K255" s="6">
        <v>45153</v>
      </c>
      <c r="L255" s="23">
        <v>0.70833333333333304</v>
      </c>
      <c r="M255" s="5" t="s">
        <v>277</v>
      </c>
      <c r="N255" s="5" t="s">
        <v>69</v>
      </c>
      <c r="O255" s="8" t="s">
        <v>56</v>
      </c>
      <c r="Q255" t="s">
        <v>682</v>
      </c>
      <c r="R255" s="5" t="s">
        <v>683</v>
      </c>
      <c r="S255" s="9">
        <v>10</v>
      </c>
      <c r="T255" s="9">
        <v>5</v>
      </c>
      <c r="U255" s="9">
        <v>5</v>
      </c>
      <c r="V255" s="10">
        <f>Table1[[#This Row],[MARGIN '[€']]]/Table1[[#This Row],[SALES '[€']]]</f>
        <v>0.5</v>
      </c>
      <c r="W255" s="5">
        <v>9215166612</v>
      </c>
      <c r="X255" s="5" t="s">
        <v>684</v>
      </c>
      <c r="Y255" s="4">
        <v>30</v>
      </c>
      <c r="AA255" t="s">
        <v>89</v>
      </c>
      <c r="AL255" t="s">
        <v>61</v>
      </c>
    </row>
    <row r="256" spans="1:40" x14ac:dyDescent="0.25">
      <c r="A256" s="4">
        <v>33</v>
      </c>
      <c r="B256" t="s">
        <v>48</v>
      </c>
      <c r="C256" t="s">
        <v>49</v>
      </c>
      <c r="D256" s="5" t="s">
        <v>50</v>
      </c>
      <c r="E256" t="s">
        <v>51</v>
      </c>
      <c r="F256" s="6">
        <v>45153</v>
      </c>
      <c r="G256" s="7">
        <v>0.375</v>
      </c>
      <c r="H256" t="s">
        <v>90</v>
      </c>
      <c r="I256" s="5">
        <v>24</v>
      </c>
      <c r="J256" t="s">
        <v>92</v>
      </c>
      <c r="K256" s="6">
        <v>45154</v>
      </c>
      <c r="L256" s="23">
        <v>0.30902777777777801</v>
      </c>
      <c r="M256" s="5">
        <v>119643</v>
      </c>
      <c r="N256" s="5" t="s">
        <v>69</v>
      </c>
      <c r="O256" s="8" t="s">
        <v>56</v>
      </c>
      <c r="Q256" t="s">
        <v>516</v>
      </c>
      <c r="R256" s="5" t="s">
        <v>356</v>
      </c>
      <c r="S256" s="9">
        <v>10</v>
      </c>
      <c r="T256" s="9">
        <v>5</v>
      </c>
      <c r="U256" s="9">
        <v>5</v>
      </c>
      <c r="V256" s="10">
        <f>Table1[[#This Row],[MARGIN '[€']]]/Table1[[#This Row],[SALES '[€']]]</f>
        <v>0.5</v>
      </c>
      <c r="W256" s="5">
        <v>9215166611</v>
      </c>
      <c r="X256" s="5" t="s">
        <v>685</v>
      </c>
      <c r="Y256" s="4">
        <v>441</v>
      </c>
      <c r="Z256" t="s">
        <v>686</v>
      </c>
      <c r="AA256" t="s">
        <v>60</v>
      </c>
      <c r="AL256" t="s">
        <v>61</v>
      </c>
    </row>
    <row r="257" spans="1:38" x14ac:dyDescent="0.25">
      <c r="A257" s="4">
        <v>33</v>
      </c>
      <c r="B257" t="s">
        <v>48</v>
      </c>
      <c r="C257" t="s">
        <v>49</v>
      </c>
      <c r="D257" s="5" t="s">
        <v>50</v>
      </c>
      <c r="E257" t="s">
        <v>51</v>
      </c>
      <c r="F257" s="6">
        <v>45153</v>
      </c>
      <c r="G257" s="7">
        <v>0.73611111111111105</v>
      </c>
      <c r="H257" t="s">
        <v>90</v>
      </c>
      <c r="I257" s="5">
        <v>24</v>
      </c>
      <c r="J257" t="s">
        <v>92</v>
      </c>
      <c r="K257" s="6">
        <v>45154</v>
      </c>
      <c r="L257" s="23">
        <v>0.49652777777777801</v>
      </c>
      <c r="M257" s="5">
        <v>119645</v>
      </c>
      <c r="N257" s="5" t="s">
        <v>69</v>
      </c>
      <c r="O257" s="8" t="s">
        <v>56</v>
      </c>
      <c r="Q257" t="s">
        <v>545</v>
      </c>
      <c r="R257" s="5" t="s">
        <v>94</v>
      </c>
      <c r="S257" s="9">
        <v>10</v>
      </c>
      <c r="T257" s="9">
        <v>5</v>
      </c>
      <c r="U257" s="9">
        <v>5</v>
      </c>
      <c r="V257" s="10">
        <f>Table1[[#This Row],[MARGIN '[€']]]/Table1[[#This Row],[SALES '[€']]]</f>
        <v>0.5</v>
      </c>
      <c r="W257" s="5">
        <v>9215166618</v>
      </c>
      <c r="X257" s="5" t="s">
        <v>687</v>
      </c>
      <c r="Y257" s="4">
        <v>441</v>
      </c>
      <c r="Z257" t="s">
        <v>688</v>
      </c>
      <c r="AA257" t="s">
        <v>60</v>
      </c>
      <c r="AL257" t="s">
        <v>61</v>
      </c>
    </row>
    <row r="258" spans="1:38" x14ac:dyDescent="0.25">
      <c r="A258" s="4">
        <v>33</v>
      </c>
      <c r="B258" t="s">
        <v>48</v>
      </c>
      <c r="C258" t="s">
        <v>49</v>
      </c>
      <c r="D258" s="5" t="s">
        <v>50</v>
      </c>
      <c r="E258" t="s">
        <v>51</v>
      </c>
      <c r="F258" s="6">
        <v>45153</v>
      </c>
      <c r="G258" s="7">
        <v>0.9375</v>
      </c>
      <c r="H258" t="s">
        <v>90</v>
      </c>
      <c r="I258" s="5">
        <v>24</v>
      </c>
      <c r="J258" t="s">
        <v>92</v>
      </c>
      <c r="K258" s="6">
        <v>45154</v>
      </c>
      <c r="L258" s="23">
        <v>0.68055555555555503</v>
      </c>
      <c r="M258" s="5">
        <v>119647</v>
      </c>
      <c r="N258" s="5" t="s">
        <v>69</v>
      </c>
      <c r="O258" s="8" t="s">
        <v>56</v>
      </c>
      <c r="Q258" t="s">
        <v>408</v>
      </c>
      <c r="R258" s="5" t="s">
        <v>94</v>
      </c>
      <c r="S258" s="9">
        <v>10</v>
      </c>
      <c r="T258" s="9">
        <v>5</v>
      </c>
      <c r="U258" s="9">
        <v>5</v>
      </c>
      <c r="V258" s="10">
        <f>Table1[[#This Row],[MARGIN '[€']]]/Table1[[#This Row],[SALES '[€']]]</f>
        <v>0.5</v>
      </c>
      <c r="W258" s="5">
        <v>9215166619</v>
      </c>
      <c r="X258" s="5" t="s">
        <v>689</v>
      </c>
      <c r="Y258" s="4">
        <v>441</v>
      </c>
      <c r="Z258" t="s">
        <v>690</v>
      </c>
      <c r="AA258" t="s">
        <v>60</v>
      </c>
      <c r="AL258" t="s">
        <v>61</v>
      </c>
    </row>
    <row r="259" spans="1:38" x14ac:dyDescent="0.25">
      <c r="A259" s="4">
        <v>33</v>
      </c>
      <c r="B259" t="s">
        <v>48</v>
      </c>
      <c r="C259" t="s">
        <v>49</v>
      </c>
      <c r="D259" s="5" t="s">
        <v>50</v>
      </c>
      <c r="E259" t="s">
        <v>51</v>
      </c>
      <c r="F259" s="6">
        <v>45153</v>
      </c>
      <c r="G259" s="7">
        <v>0.16666666666666699</v>
      </c>
      <c r="H259" t="s">
        <v>52</v>
      </c>
      <c r="I259" s="5">
        <v>35</v>
      </c>
      <c r="J259" t="s">
        <v>54</v>
      </c>
      <c r="K259" s="6">
        <v>45153</v>
      </c>
      <c r="L259" s="23">
        <v>0.75</v>
      </c>
      <c r="M259" s="5">
        <v>119788</v>
      </c>
      <c r="N259" s="5" t="s">
        <v>55</v>
      </c>
      <c r="O259" s="8" t="s">
        <v>56</v>
      </c>
      <c r="Q259" t="s">
        <v>62</v>
      </c>
      <c r="R259" s="5" t="s">
        <v>58</v>
      </c>
      <c r="S259" s="9">
        <v>10</v>
      </c>
      <c r="T259" s="9">
        <v>5</v>
      </c>
      <c r="U259" s="9">
        <v>5</v>
      </c>
      <c r="V259" s="10">
        <f>Table1[[#This Row],[MARGIN '[€']]]/Table1[[#This Row],[SALES '[€']]]</f>
        <v>0.5</v>
      </c>
      <c r="W259" s="5">
        <v>9215166620</v>
      </c>
      <c r="X259" s="5" t="s">
        <v>691</v>
      </c>
      <c r="Y259" s="4">
        <v>82</v>
      </c>
      <c r="AA259" t="s">
        <v>60</v>
      </c>
      <c r="AL259" t="s">
        <v>61</v>
      </c>
    </row>
    <row r="260" spans="1:38" x14ac:dyDescent="0.25">
      <c r="A260" s="4">
        <v>33</v>
      </c>
      <c r="B260" t="s">
        <v>48</v>
      </c>
      <c r="C260" t="s">
        <v>49</v>
      </c>
      <c r="D260" s="5" t="s">
        <v>50</v>
      </c>
      <c r="E260" t="s">
        <v>51</v>
      </c>
      <c r="F260" s="6">
        <v>45153</v>
      </c>
      <c r="G260" s="7">
        <v>0.1875</v>
      </c>
      <c r="H260" t="s">
        <v>52</v>
      </c>
      <c r="I260" s="5">
        <v>35</v>
      </c>
      <c r="J260" t="s">
        <v>54</v>
      </c>
      <c r="K260" s="6">
        <v>45153</v>
      </c>
      <c r="L260" s="23">
        <v>0.75</v>
      </c>
      <c r="M260" s="5">
        <v>119789</v>
      </c>
      <c r="N260" s="5" t="s">
        <v>55</v>
      </c>
      <c r="O260" s="8" t="s">
        <v>56</v>
      </c>
      <c r="Q260" t="s">
        <v>57</v>
      </c>
      <c r="R260" s="5" t="s">
        <v>58</v>
      </c>
      <c r="S260" s="9">
        <v>10</v>
      </c>
      <c r="T260" s="9">
        <v>5</v>
      </c>
      <c r="U260" s="9">
        <v>5</v>
      </c>
      <c r="V260" s="10">
        <f>Table1[[#This Row],[MARGIN '[€']]]/Table1[[#This Row],[SALES '[€']]]</f>
        <v>0.5</v>
      </c>
      <c r="W260" s="5">
        <v>9215166622</v>
      </c>
      <c r="X260" s="5" t="s">
        <v>692</v>
      </c>
      <c r="Y260" s="4">
        <v>82</v>
      </c>
      <c r="AA260" t="s">
        <v>60</v>
      </c>
      <c r="AL260" t="s">
        <v>61</v>
      </c>
    </row>
    <row r="261" spans="1:38" x14ac:dyDescent="0.25">
      <c r="A261" s="4">
        <v>33</v>
      </c>
      <c r="B261" t="s">
        <v>48</v>
      </c>
      <c r="C261" t="s">
        <v>49</v>
      </c>
      <c r="D261" s="5" t="s">
        <v>50</v>
      </c>
      <c r="E261" t="s">
        <v>51</v>
      </c>
      <c r="F261" s="6">
        <v>45153</v>
      </c>
      <c r="G261" s="7">
        <v>0.20833333333333301</v>
      </c>
      <c r="H261" t="s">
        <v>52</v>
      </c>
      <c r="I261" s="5">
        <v>35</v>
      </c>
      <c r="J261" t="s">
        <v>54</v>
      </c>
      <c r="K261" s="6">
        <v>45153</v>
      </c>
      <c r="L261" s="23">
        <v>0.75</v>
      </c>
      <c r="M261" s="5">
        <v>119790</v>
      </c>
      <c r="N261" s="5" t="s">
        <v>55</v>
      </c>
      <c r="O261" s="8" t="s">
        <v>56</v>
      </c>
      <c r="Q261" t="s">
        <v>64</v>
      </c>
      <c r="R261" s="5" t="s">
        <v>58</v>
      </c>
      <c r="S261" s="9">
        <v>10</v>
      </c>
      <c r="T261" s="9">
        <v>5</v>
      </c>
      <c r="U261" s="9">
        <v>5</v>
      </c>
      <c r="V261" s="10">
        <f>Table1[[#This Row],[MARGIN '[€']]]/Table1[[#This Row],[SALES '[€']]]</f>
        <v>0.5</v>
      </c>
      <c r="W261" s="5">
        <v>9215166625</v>
      </c>
      <c r="X261" s="5" t="s">
        <v>693</v>
      </c>
      <c r="Y261" s="4">
        <v>82</v>
      </c>
      <c r="AA261" t="s">
        <v>60</v>
      </c>
      <c r="AL261" t="s">
        <v>61</v>
      </c>
    </row>
    <row r="262" spans="1:38" x14ac:dyDescent="0.25">
      <c r="A262" s="4">
        <v>33</v>
      </c>
      <c r="B262" t="s">
        <v>48</v>
      </c>
      <c r="C262" t="s">
        <v>49</v>
      </c>
      <c r="D262" s="5" t="s">
        <v>50</v>
      </c>
      <c r="E262" t="s">
        <v>51</v>
      </c>
      <c r="F262" s="6">
        <v>45153</v>
      </c>
      <c r="G262" s="7">
        <v>0.33333333333333298</v>
      </c>
      <c r="H262" t="s">
        <v>52</v>
      </c>
      <c r="I262" s="5">
        <v>35</v>
      </c>
      <c r="J262" t="s">
        <v>54</v>
      </c>
      <c r="K262" s="6">
        <v>45153</v>
      </c>
      <c r="L262" s="23">
        <v>0.75</v>
      </c>
      <c r="M262" s="5">
        <v>119791</v>
      </c>
      <c r="N262" s="5" t="s">
        <v>55</v>
      </c>
      <c r="O262" s="8" t="s">
        <v>56</v>
      </c>
      <c r="Q262" t="s">
        <v>62</v>
      </c>
      <c r="R262" s="5" t="s">
        <v>58</v>
      </c>
      <c r="S262" s="9">
        <v>10</v>
      </c>
      <c r="T262" s="9">
        <v>5</v>
      </c>
      <c r="U262" s="9">
        <v>5</v>
      </c>
      <c r="V262" s="10">
        <f>Table1[[#This Row],[MARGIN '[€']]]/Table1[[#This Row],[SALES '[€']]]</f>
        <v>0.5</v>
      </c>
      <c r="W262" s="5">
        <v>9215166621</v>
      </c>
      <c r="X262" s="5" t="s">
        <v>691</v>
      </c>
      <c r="Y262" s="4">
        <v>82</v>
      </c>
      <c r="AA262" t="s">
        <v>60</v>
      </c>
      <c r="AL262" t="s">
        <v>61</v>
      </c>
    </row>
    <row r="263" spans="1:38" x14ac:dyDescent="0.25">
      <c r="A263" s="4">
        <v>33</v>
      </c>
      <c r="B263" t="s">
        <v>48</v>
      </c>
      <c r="C263" t="s">
        <v>49</v>
      </c>
      <c r="D263" s="5" t="s">
        <v>50</v>
      </c>
      <c r="E263" t="s">
        <v>51</v>
      </c>
      <c r="F263" s="6">
        <v>45153</v>
      </c>
      <c r="G263" s="7">
        <v>0.34722222222222199</v>
      </c>
      <c r="H263" t="s">
        <v>52</v>
      </c>
      <c r="I263" s="5">
        <v>35</v>
      </c>
      <c r="J263" t="s">
        <v>54</v>
      </c>
      <c r="K263" s="6">
        <v>45153</v>
      </c>
      <c r="L263" s="23">
        <v>0.75</v>
      </c>
      <c r="M263" s="5">
        <v>119792</v>
      </c>
      <c r="N263" s="5" t="s">
        <v>55</v>
      </c>
      <c r="O263" s="8" t="s">
        <v>56</v>
      </c>
      <c r="Q263" t="s">
        <v>57</v>
      </c>
      <c r="R263" s="5" t="s">
        <v>58</v>
      </c>
      <c r="S263" s="9">
        <v>10</v>
      </c>
      <c r="T263" s="9">
        <v>5</v>
      </c>
      <c r="U263" s="9">
        <v>5</v>
      </c>
      <c r="V263" s="10">
        <f>Table1[[#This Row],[MARGIN '[€']]]/Table1[[#This Row],[SALES '[€']]]</f>
        <v>0.5</v>
      </c>
      <c r="W263" s="5">
        <v>9215166623</v>
      </c>
      <c r="X263" s="5" t="s">
        <v>692</v>
      </c>
      <c r="Y263" s="4">
        <v>82</v>
      </c>
      <c r="AA263" t="s">
        <v>60</v>
      </c>
      <c r="AL263" t="s">
        <v>61</v>
      </c>
    </row>
    <row r="264" spans="1:38" x14ac:dyDescent="0.25">
      <c r="A264" s="4">
        <v>33</v>
      </c>
      <c r="B264" t="s">
        <v>48</v>
      </c>
      <c r="C264" t="s">
        <v>49</v>
      </c>
      <c r="D264" s="5" t="s">
        <v>50</v>
      </c>
      <c r="E264" t="s">
        <v>51</v>
      </c>
      <c r="F264" s="6">
        <v>45153</v>
      </c>
      <c r="G264" s="7">
        <v>0.36111111111111099</v>
      </c>
      <c r="H264" t="s">
        <v>52</v>
      </c>
      <c r="I264" s="5">
        <v>35</v>
      </c>
      <c r="J264" t="s">
        <v>54</v>
      </c>
      <c r="K264" s="6">
        <v>45153</v>
      </c>
      <c r="L264" s="23">
        <v>0.75</v>
      </c>
      <c r="M264" s="5">
        <v>119793</v>
      </c>
      <c r="N264" s="5" t="s">
        <v>55</v>
      </c>
      <c r="O264" s="8" t="s">
        <v>56</v>
      </c>
      <c r="Q264" t="s">
        <v>64</v>
      </c>
      <c r="R264" s="5" t="s">
        <v>58</v>
      </c>
      <c r="S264" s="9">
        <v>10</v>
      </c>
      <c r="T264" s="9">
        <v>5</v>
      </c>
      <c r="U264" s="9">
        <v>5</v>
      </c>
      <c r="V264" s="10">
        <f>Table1[[#This Row],[MARGIN '[€']]]/Table1[[#This Row],[SALES '[€']]]</f>
        <v>0.5</v>
      </c>
      <c r="W264" s="5">
        <v>9215166626</v>
      </c>
      <c r="X264" s="5" t="s">
        <v>693</v>
      </c>
      <c r="Y264" s="4">
        <v>82</v>
      </c>
      <c r="AA264" t="s">
        <v>60</v>
      </c>
      <c r="AL264" t="s">
        <v>61</v>
      </c>
    </row>
    <row r="265" spans="1:38" x14ac:dyDescent="0.25">
      <c r="A265" s="4">
        <v>33</v>
      </c>
      <c r="B265" t="s">
        <v>48</v>
      </c>
      <c r="C265" t="s">
        <v>49</v>
      </c>
      <c r="D265" s="5" t="s">
        <v>50</v>
      </c>
      <c r="E265" t="s">
        <v>51</v>
      </c>
      <c r="F265" s="6">
        <v>45153</v>
      </c>
      <c r="G265" s="7">
        <v>0.14583333333333301</v>
      </c>
      <c r="H265" t="s">
        <v>49</v>
      </c>
      <c r="I265" s="5">
        <v>94</v>
      </c>
      <c r="J265" t="s">
        <v>110</v>
      </c>
      <c r="K265" s="6">
        <v>45153</v>
      </c>
      <c r="L265" s="23">
        <v>0.33333333333333298</v>
      </c>
      <c r="M265" s="5">
        <v>119857</v>
      </c>
      <c r="N265" s="5" t="s">
        <v>69</v>
      </c>
      <c r="O265" s="8" t="s">
        <v>56</v>
      </c>
      <c r="Q265" t="s">
        <v>111</v>
      </c>
      <c r="R265" s="5" t="s">
        <v>112</v>
      </c>
      <c r="S265" s="9">
        <v>10</v>
      </c>
      <c r="T265" s="9">
        <v>5</v>
      </c>
      <c r="U265" s="9">
        <v>5</v>
      </c>
      <c r="V265" s="10">
        <f>Table1[[#This Row],[MARGIN '[€']]]/Table1[[#This Row],[SALES '[€']]]</f>
        <v>0.5</v>
      </c>
      <c r="W265" s="5">
        <v>9215166613</v>
      </c>
      <c r="X265" s="5" t="s">
        <v>694</v>
      </c>
      <c r="Y265" s="4">
        <v>345</v>
      </c>
      <c r="AA265" t="s">
        <v>89</v>
      </c>
      <c r="AL265" t="s">
        <v>61</v>
      </c>
    </row>
    <row r="266" spans="1:38" x14ac:dyDescent="0.25">
      <c r="A266" s="4">
        <v>33</v>
      </c>
      <c r="B266" t="s">
        <v>48</v>
      </c>
      <c r="C266" t="s">
        <v>49</v>
      </c>
      <c r="D266" s="5" t="s">
        <v>50</v>
      </c>
      <c r="E266" t="s">
        <v>51</v>
      </c>
      <c r="F266" s="6">
        <v>45153</v>
      </c>
      <c r="G266" s="7">
        <v>0.625</v>
      </c>
      <c r="H266" t="s">
        <v>49</v>
      </c>
      <c r="I266" s="5">
        <v>94</v>
      </c>
      <c r="J266" t="s">
        <v>110</v>
      </c>
      <c r="K266" s="6">
        <v>45154</v>
      </c>
      <c r="L266" s="23">
        <v>0.29166666666666702</v>
      </c>
      <c r="M266" s="5">
        <v>119858</v>
      </c>
      <c r="N266" s="5" t="s">
        <v>69</v>
      </c>
      <c r="O266" s="8" t="s">
        <v>56</v>
      </c>
      <c r="Q266" t="s">
        <v>682</v>
      </c>
      <c r="R266" s="5" t="s">
        <v>683</v>
      </c>
      <c r="S266" s="9">
        <v>10</v>
      </c>
      <c r="T266" s="9">
        <v>5</v>
      </c>
      <c r="U266" s="9">
        <v>5</v>
      </c>
      <c r="V266" s="10">
        <f>Table1[[#This Row],[MARGIN '[€']]]/Table1[[#This Row],[SALES '[€']]]</f>
        <v>0.5</v>
      </c>
      <c r="W266" s="5">
        <v>9215166614</v>
      </c>
      <c r="X266" s="5" t="s">
        <v>695</v>
      </c>
      <c r="Y266" s="4">
        <v>345</v>
      </c>
      <c r="AA266" t="s">
        <v>89</v>
      </c>
      <c r="AL266" t="s">
        <v>61</v>
      </c>
    </row>
    <row r="267" spans="1:38" x14ac:dyDescent="0.25">
      <c r="A267" s="4">
        <v>33</v>
      </c>
      <c r="B267" t="s">
        <v>48</v>
      </c>
      <c r="C267" t="s">
        <v>49</v>
      </c>
      <c r="D267" s="5" t="s">
        <v>50</v>
      </c>
      <c r="E267" t="s">
        <v>51</v>
      </c>
      <c r="F267" s="6">
        <v>45153</v>
      </c>
      <c r="G267" s="7">
        <v>0.60416666666666696</v>
      </c>
      <c r="H267" t="s">
        <v>49</v>
      </c>
      <c r="I267" s="5">
        <v>94</v>
      </c>
      <c r="J267" t="s">
        <v>110</v>
      </c>
      <c r="K267" s="6">
        <v>45154</v>
      </c>
      <c r="L267" s="23">
        <v>0.33333333333333298</v>
      </c>
      <c r="M267" s="5">
        <v>119859</v>
      </c>
      <c r="N267" s="5" t="s">
        <v>69</v>
      </c>
      <c r="O267" s="8" t="s">
        <v>56</v>
      </c>
      <c r="P267" t="s">
        <v>76</v>
      </c>
      <c r="Q267" t="s">
        <v>117</v>
      </c>
      <c r="R267" s="5" t="s">
        <v>118</v>
      </c>
      <c r="S267" s="9">
        <v>10</v>
      </c>
      <c r="T267" s="9">
        <v>5</v>
      </c>
      <c r="U267" s="9">
        <v>5</v>
      </c>
      <c r="V267" s="10">
        <f>Table1[[#This Row],[MARGIN '[€']]]/Table1[[#This Row],[SALES '[€']]]</f>
        <v>0.5</v>
      </c>
      <c r="W267" s="5" t="s">
        <v>696</v>
      </c>
      <c r="X267" s="5" t="s">
        <v>697</v>
      </c>
      <c r="Y267" s="4">
        <v>345</v>
      </c>
      <c r="AA267" t="s">
        <v>89</v>
      </c>
      <c r="AL267" t="s">
        <v>61</v>
      </c>
    </row>
    <row r="268" spans="1:38" x14ac:dyDescent="0.25">
      <c r="A268" s="4">
        <v>33</v>
      </c>
      <c r="B268" t="s">
        <v>48</v>
      </c>
      <c r="C268" t="s">
        <v>49</v>
      </c>
      <c r="D268" s="5" t="s">
        <v>50</v>
      </c>
      <c r="E268" t="s">
        <v>51</v>
      </c>
      <c r="F268" s="6">
        <v>45153</v>
      </c>
      <c r="G268" s="7">
        <v>0.56944444444444398</v>
      </c>
      <c r="H268" t="s">
        <v>49</v>
      </c>
      <c r="I268" s="5">
        <v>94</v>
      </c>
      <c r="J268" t="s">
        <v>110</v>
      </c>
      <c r="K268" s="6">
        <v>45154</v>
      </c>
      <c r="L268" s="23">
        <v>0.375</v>
      </c>
      <c r="M268" s="5">
        <v>119860</v>
      </c>
      <c r="N268" s="5" t="s">
        <v>69</v>
      </c>
      <c r="O268" s="8" t="s">
        <v>56</v>
      </c>
      <c r="Q268" t="s">
        <v>698</v>
      </c>
      <c r="R268" s="5" t="s">
        <v>699</v>
      </c>
      <c r="S268" s="9">
        <v>10</v>
      </c>
      <c r="T268" s="9">
        <v>5</v>
      </c>
      <c r="U268" s="9">
        <v>5</v>
      </c>
      <c r="V268" s="10">
        <f>Table1[[#This Row],[MARGIN '[€']]]/Table1[[#This Row],[SALES '[€']]]</f>
        <v>0.5</v>
      </c>
      <c r="W268" s="5">
        <v>9215166627</v>
      </c>
      <c r="X268" s="5" t="s">
        <v>700</v>
      </c>
      <c r="Y268" s="4">
        <v>345</v>
      </c>
      <c r="AA268" t="s">
        <v>89</v>
      </c>
      <c r="AL268" t="s">
        <v>61</v>
      </c>
    </row>
    <row r="269" spans="1:38" x14ac:dyDescent="0.25">
      <c r="A269" s="4">
        <v>33</v>
      </c>
      <c r="B269" t="s">
        <v>48</v>
      </c>
      <c r="C269" t="s">
        <v>49</v>
      </c>
      <c r="D269" s="5" t="s">
        <v>102</v>
      </c>
      <c r="E269" t="s">
        <v>103</v>
      </c>
      <c r="F269" s="6">
        <v>45153</v>
      </c>
      <c r="G269" s="7">
        <v>0.46875</v>
      </c>
      <c r="H269" t="s">
        <v>49</v>
      </c>
      <c r="I269" s="5">
        <v>94</v>
      </c>
      <c r="J269" t="s">
        <v>110</v>
      </c>
      <c r="K269" s="6">
        <v>45154</v>
      </c>
      <c r="L269" s="23">
        <v>0.45833333333333298</v>
      </c>
      <c r="M269" s="5">
        <v>119862</v>
      </c>
      <c r="N269" s="5" t="s">
        <v>69</v>
      </c>
      <c r="O269" s="8" t="s">
        <v>56</v>
      </c>
      <c r="Q269" t="s">
        <v>360</v>
      </c>
      <c r="R269" s="5" t="s">
        <v>266</v>
      </c>
      <c r="S269" s="9">
        <v>10</v>
      </c>
      <c r="T269" s="9">
        <v>5</v>
      </c>
      <c r="U269" s="9">
        <v>5</v>
      </c>
      <c r="V269" s="10">
        <f>Table1[[#This Row],[MARGIN '[€']]]/Table1[[#This Row],[SALES '[€']]]</f>
        <v>0.5</v>
      </c>
      <c r="W269" s="5">
        <v>9215166628</v>
      </c>
      <c r="X269" s="5" t="s">
        <v>701</v>
      </c>
      <c r="Y269" s="4">
        <v>345</v>
      </c>
      <c r="AA269" t="s">
        <v>89</v>
      </c>
      <c r="AL269" t="s">
        <v>61</v>
      </c>
    </row>
    <row r="270" spans="1:38" x14ac:dyDescent="0.25">
      <c r="A270" s="4">
        <v>33</v>
      </c>
      <c r="B270" t="s">
        <v>48</v>
      </c>
      <c r="C270" t="s">
        <v>49</v>
      </c>
      <c r="D270" s="5" t="s">
        <v>102</v>
      </c>
      <c r="E270" t="s">
        <v>103</v>
      </c>
      <c r="F270" s="6">
        <v>45153</v>
      </c>
      <c r="G270" s="7">
        <v>0.5</v>
      </c>
      <c r="H270" t="s">
        <v>49</v>
      </c>
      <c r="I270" s="5">
        <v>94</v>
      </c>
      <c r="J270" t="s">
        <v>110</v>
      </c>
      <c r="K270" s="6">
        <v>45154</v>
      </c>
      <c r="L270" s="23">
        <v>0.5</v>
      </c>
      <c r="M270" s="5">
        <v>119863</v>
      </c>
      <c r="N270" s="5" t="s">
        <v>69</v>
      </c>
      <c r="O270" s="8" t="s">
        <v>56</v>
      </c>
      <c r="Q270" t="s">
        <v>702</v>
      </c>
      <c r="R270" s="5" t="s">
        <v>356</v>
      </c>
      <c r="S270" s="9">
        <v>10</v>
      </c>
      <c r="T270" s="9">
        <v>5</v>
      </c>
      <c r="U270" s="9">
        <v>5</v>
      </c>
      <c r="V270" s="10">
        <f>Table1[[#This Row],[MARGIN '[€']]]/Table1[[#This Row],[SALES '[€']]]</f>
        <v>0.5</v>
      </c>
      <c r="W270" s="5">
        <v>9215166630</v>
      </c>
      <c r="X270" s="5" t="s">
        <v>703</v>
      </c>
      <c r="Y270" s="4">
        <v>345</v>
      </c>
      <c r="AA270" t="s">
        <v>89</v>
      </c>
      <c r="AL270" t="s">
        <v>61</v>
      </c>
    </row>
    <row r="271" spans="1:38" x14ac:dyDescent="0.25">
      <c r="A271" s="4">
        <v>33</v>
      </c>
      <c r="B271" t="s">
        <v>137</v>
      </c>
      <c r="C271" t="s">
        <v>49</v>
      </c>
      <c r="D271" s="5" t="s">
        <v>50</v>
      </c>
      <c r="E271" t="s">
        <v>51</v>
      </c>
      <c r="F271" s="6">
        <v>45153</v>
      </c>
      <c r="G271" s="7">
        <v>0.40277777777777801</v>
      </c>
      <c r="H271" t="s">
        <v>49</v>
      </c>
      <c r="I271" s="5" t="s">
        <v>102</v>
      </c>
      <c r="J271" t="s">
        <v>103</v>
      </c>
      <c r="K271" s="6">
        <v>45153</v>
      </c>
      <c r="L271" s="23">
        <v>0.5</v>
      </c>
      <c r="M271" s="5" t="s">
        <v>704</v>
      </c>
      <c r="N271" s="5" t="s">
        <v>69</v>
      </c>
      <c r="O271" s="8" t="s">
        <v>56</v>
      </c>
      <c r="Q271" t="s">
        <v>117</v>
      </c>
      <c r="R271" s="5" t="s">
        <v>118</v>
      </c>
      <c r="S271" s="9">
        <v>10</v>
      </c>
      <c r="T271" s="9">
        <v>5</v>
      </c>
      <c r="U271" s="9">
        <v>5</v>
      </c>
      <c r="V271" s="10">
        <f>Table1[[#This Row],[MARGIN '[€']]]/Table1[[#This Row],[SALES '[€']]]</f>
        <v>0.5</v>
      </c>
      <c r="W271" s="5">
        <v>9215166586</v>
      </c>
      <c r="X271" s="5" t="s">
        <v>626</v>
      </c>
      <c r="Y271" s="4">
        <v>57</v>
      </c>
      <c r="AA271" t="s">
        <v>89</v>
      </c>
      <c r="AL271" t="s">
        <v>61</v>
      </c>
    </row>
    <row r="272" spans="1:38" x14ac:dyDescent="0.25">
      <c r="A272" s="4">
        <v>33</v>
      </c>
      <c r="B272" t="s">
        <v>137</v>
      </c>
      <c r="C272" t="s">
        <v>49</v>
      </c>
      <c r="D272" s="5" t="s">
        <v>50</v>
      </c>
      <c r="E272" t="s">
        <v>51</v>
      </c>
      <c r="F272" s="6">
        <v>45153</v>
      </c>
      <c r="G272" s="7">
        <v>0.30555555555555503</v>
      </c>
      <c r="H272" t="s">
        <v>49</v>
      </c>
      <c r="I272" s="5" t="s">
        <v>102</v>
      </c>
      <c r="J272" t="s">
        <v>103</v>
      </c>
      <c r="K272" s="6">
        <v>45153</v>
      </c>
      <c r="L272" s="23">
        <v>0.35416666666666702</v>
      </c>
      <c r="M272" s="5" t="s">
        <v>705</v>
      </c>
      <c r="N272" s="5" t="s">
        <v>69</v>
      </c>
      <c r="O272" s="8" t="s">
        <v>56</v>
      </c>
      <c r="Q272" t="s">
        <v>628</v>
      </c>
      <c r="R272" s="5" t="s">
        <v>500</v>
      </c>
      <c r="S272" s="9">
        <v>10</v>
      </c>
      <c r="T272" s="9">
        <v>5</v>
      </c>
      <c r="U272" s="9">
        <v>5</v>
      </c>
      <c r="V272" s="10">
        <f>Table1[[#This Row],[MARGIN '[€']]]/Table1[[#This Row],[SALES '[€']]]</f>
        <v>0.5</v>
      </c>
      <c r="W272" s="5">
        <v>9215166635</v>
      </c>
      <c r="X272" s="5" t="s">
        <v>706</v>
      </c>
      <c r="Y272" s="4">
        <v>57</v>
      </c>
      <c r="AA272" t="s">
        <v>89</v>
      </c>
      <c r="AL272" t="s">
        <v>61</v>
      </c>
    </row>
    <row r="273" spans="1:40" x14ac:dyDescent="0.25">
      <c r="A273" s="4">
        <v>33</v>
      </c>
      <c r="B273" t="s">
        <v>137</v>
      </c>
      <c r="C273" t="s">
        <v>49</v>
      </c>
      <c r="D273" s="5" t="s">
        <v>50</v>
      </c>
      <c r="E273" t="s">
        <v>51</v>
      </c>
      <c r="F273" s="6">
        <v>45153</v>
      </c>
      <c r="G273" s="7">
        <v>0.47222222222222199</v>
      </c>
      <c r="H273" t="s">
        <v>49</v>
      </c>
      <c r="I273" s="5" t="s">
        <v>102</v>
      </c>
      <c r="J273" t="s">
        <v>103</v>
      </c>
      <c r="K273" s="6">
        <v>45153</v>
      </c>
      <c r="L273" s="23">
        <v>0.54166666666666696</v>
      </c>
      <c r="M273" s="5" t="s">
        <v>707</v>
      </c>
      <c r="N273" s="5" t="s">
        <v>69</v>
      </c>
      <c r="O273" s="8" t="s">
        <v>56</v>
      </c>
      <c r="Q273" t="s">
        <v>628</v>
      </c>
      <c r="R273" s="5" t="s">
        <v>500</v>
      </c>
      <c r="S273" s="9">
        <v>10</v>
      </c>
      <c r="T273" s="9">
        <v>5</v>
      </c>
      <c r="U273" s="9">
        <v>5</v>
      </c>
      <c r="V273" s="10">
        <f>Table1[[#This Row],[MARGIN '[€']]]/Table1[[#This Row],[SALES '[€']]]</f>
        <v>0.5</v>
      </c>
      <c r="W273" s="5">
        <v>9215166636</v>
      </c>
      <c r="X273" s="5" t="s">
        <v>706</v>
      </c>
      <c r="Y273" s="4">
        <v>57</v>
      </c>
      <c r="AA273" t="s">
        <v>89</v>
      </c>
      <c r="AL273" t="s">
        <v>61</v>
      </c>
    </row>
    <row r="274" spans="1:40" x14ac:dyDescent="0.25">
      <c r="A274" s="4">
        <v>33</v>
      </c>
      <c r="B274" t="s">
        <v>137</v>
      </c>
      <c r="C274" t="s">
        <v>49</v>
      </c>
      <c r="D274" s="5" t="s">
        <v>50</v>
      </c>
      <c r="E274" t="s">
        <v>51</v>
      </c>
      <c r="F274" s="6">
        <v>45153</v>
      </c>
      <c r="G274" s="7">
        <v>0.625</v>
      </c>
      <c r="H274" t="s">
        <v>49</v>
      </c>
      <c r="I274" s="5" t="s">
        <v>102</v>
      </c>
      <c r="J274" t="s">
        <v>103</v>
      </c>
      <c r="K274" s="6">
        <v>45153</v>
      </c>
      <c r="L274" s="23">
        <v>0.6875</v>
      </c>
      <c r="M274" s="5" t="s">
        <v>708</v>
      </c>
      <c r="N274" s="5" t="s">
        <v>69</v>
      </c>
      <c r="O274" s="8" t="s">
        <v>56</v>
      </c>
      <c r="Q274" t="s">
        <v>628</v>
      </c>
      <c r="R274" s="5" t="s">
        <v>500</v>
      </c>
      <c r="S274" s="9">
        <v>10</v>
      </c>
      <c r="T274" s="9">
        <v>5</v>
      </c>
      <c r="U274" s="9">
        <v>5</v>
      </c>
      <c r="V274" s="10">
        <f>Table1[[#This Row],[MARGIN '[€']]]/Table1[[#This Row],[SALES '[€']]]</f>
        <v>0.5</v>
      </c>
      <c r="W274" s="5">
        <v>9215166637</v>
      </c>
      <c r="X274" s="5" t="s">
        <v>706</v>
      </c>
      <c r="Y274" s="4">
        <v>57</v>
      </c>
      <c r="AA274" t="s">
        <v>89</v>
      </c>
      <c r="AL274" t="s">
        <v>61</v>
      </c>
    </row>
    <row r="275" spans="1:40" x14ac:dyDescent="0.25">
      <c r="A275" s="4">
        <v>33</v>
      </c>
      <c r="B275" t="s">
        <v>137</v>
      </c>
      <c r="C275" t="s">
        <v>49</v>
      </c>
      <c r="D275" s="5" t="s">
        <v>50</v>
      </c>
      <c r="E275" t="s">
        <v>51</v>
      </c>
      <c r="F275" s="6">
        <v>45153</v>
      </c>
      <c r="G275" s="7">
        <v>0.70833333333333304</v>
      </c>
      <c r="H275" t="s">
        <v>49</v>
      </c>
      <c r="I275" s="5" t="s">
        <v>102</v>
      </c>
      <c r="J275" t="s">
        <v>103</v>
      </c>
      <c r="K275" s="6">
        <v>45153</v>
      </c>
      <c r="L275" s="23">
        <v>0.77083333333333304</v>
      </c>
      <c r="M275" s="5" t="s">
        <v>709</v>
      </c>
      <c r="N275" s="5" t="s">
        <v>69</v>
      </c>
      <c r="O275" s="8" t="s">
        <v>56</v>
      </c>
      <c r="Q275" t="s">
        <v>628</v>
      </c>
      <c r="R275" s="5" t="s">
        <v>500</v>
      </c>
      <c r="S275" s="9">
        <v>10</v>
      </c>
      <c r="T275" s="9">
        <v>5</v>
      </c>
      <c r="U275" s="9">
        <v>5</v>
      </c>
      <c r="V275" s="10">
        <f>Table1[[#This Row],[MARGIN '[€']]]/Table1[[#This Row],[SALES '[€']]]</f>
        <v>0.5</v>
      </c>
      <c r="W275" s="5">
        <v>9215166638</v>
      </c>
      <c r="X275" s="5" t="s">
        <v>706</v>
      </c>
      <c r="Y275" s="4">
        <v>57</v>
      </c>
      <c r="AA275" t="s">
        <v>89</v>
      </c>
      <c r="AL275" t="s">
        <v>61</v>
      </c>
    </row>
    <row r="276" spans="1:40" x14ac:dyDescent="0.25">
      <c r="A276" s="4">
        <v>33</v>
      </c>
      <c r="B276" t="s">
        <v>137</v>
      </c>
      <c r="C276" t="s">
        <v>49</v>
      </c>
      <c r="D276" s="5" t="s">
        <v>50</v>
      </c>
      <c r="E276" t="s">
        <v>51</v>
      </c>
      <c r="F276" s="6">
        <v>45153</v>
      </c>
      <c r="G276" s="7">
        <v>0.27777777777777801</v>
      </c>
      <c r="H276" t="s">
        <v>49</v>
      </c>
      <c r="I276" s="5" t="s">
        <v>102</v>
      </c>
      <c r="J276" t="s">
        <v>103</v>
      </c>
      <c r="K276" s="6">
        <v>45153</v>
      </c>
      <c r="L276" s="23">
        <v>0.35416666666666702</v>
      </c>
      <c r="M276" s="5" t="s">
        <v>710</v>
      </c>
      <c r="N276" s="5" t="s">
        <v>55</v>
      </c>
      <c r="O276" s="8" t="s">
        <v>56</v>
      </c>
      <c r="Q276" t="s">
        <v>610</v>
      </c>
      <c r="R276" s="5" t="s">
        <v>611</v>
      </c>
      <c r="S276" s="9">
        <v>10</v>
      </c>
      <c r="T276" s="9">
        <v>5</v>
      </c>
      <c r="U276" s="9">
        <v>5</v>
      </c>
      <c r="V276" s="10">
        <f>Table1[[#This Row],[MARGIN '[€']]]/Table1[[#This Row],[SALES '[€']]]</f>
        <v>0.5</v>
      </c>
      <c r="W276" s="5">
        <v>9215166600</v>
      </c>
      <c r="X276" s="5" t="s">
        <v>711</v>
      </c>
      <c r="Y276" s="4">
        <v>57</v>
      </c>
      <c r="Z276">
        <v>1</v>
      </c>
      <c r="AA276" t="s">
        <v>163</v>
      </c>
      <c r="AL276" t="s">
        <v>61</v>
      </c>
      <c r="AN276">
        <v>921</v>
      </c>
    </row>
    <row r="277" spans="1:40" x14ac:dyDescent="0.25">
      <c r="A277" s="4">
        <v>33</v>
      </c>
      <c r="B277" t="s">
        <v>137</v>
      </c>
      <c r="C277" t="s">
        <v>49</v>
      </c>
      <c r="D277" s="5" t="s">
        <v>50</v>
      </c>
      <c r="E277" t="s">
        <v>51</v>
      </c>
      <c r="F277" s="6">
        <v>45153</v>
      </c>
      <c r="G277" s="7">
        <v>0.31944444444444398</v>
      </c>
      <c r="H277" t="s">
        <v>49</v>
      </c>
      <c r="I277" s="5" t="s">
        <v>102</v>
      </c>
      <c r="J277" t="s">
        <v>103</v>
      </c>
      <c r="K277" s="6">
        <v>45153</v>
      </c>
      <c r="L277" s="23">
        <v>0.38888888888888901</v>
      </c>
      <c r="M277" s="5" t="s">
        <v>712</v>
      </c>
      <c r="N277" s="5" t="s">
        <v>55</v>
      </c>
      <c r="O277" s="8" t="s">
        <v>56</v>
      </c>
      <c r="Q277" t="s">
        <v>62</v>
      </c>
      <c r="R277" s="5" t="s">
        <v>58</v>
      </c>
      <c r="S277" s="9">
        <v>10</v>
      </c>
      <c r="T277" s="9">
        <v>5</v>
      </c>
      <c r="U277" s="9">
        <v>5</v>
      </c>
      <c r="V277" s="10">
        <f>Table1[[#This Row],[MARGIN '[€']]]/Table1[[#This Row],[SALES '[€']]]</f>
        <v>0.5</v>
      </c>
      <c r="W277" s="5">
        <v>9215166639</v>
      </c>
      <c r="X277" s="5" t="s">
        <v>713</v>
      </c>
      <c r="Y277" s="4">
        <v>57</v>
      </c>
      <c r="AA277" t="s">
        <v>89</v>
      </c>
      <c r="AL277" t="s">
        <v>61</v>
      </c>
    </row>
    <row r="278" spans="1:40" x14ac:dyDescent="0.25">
      <c r="A278" s="4">
        <v>33</v>
      </c>
      <c r="B278" t="s">
        <v>137</v>
      </c>
      <c r="C278" t="s">
        <v>49</v>
      </c>
      <c r="D278" s="5" t="s">
        <v>50</v>
      </c>
      <c r="E278" t="s">
        <v>51</v>
      </c>
      <c r="F278" s="6">
        <v>45153</v>
      </c>
      <c r="G278" s="7">
        <v>0.33333333333333298</v>
      </c>
      <c r="H278" t="s">
        <v>49</v>
      </c>
      <c r="I278" s="5" t="s">
        <v>102</v>
      </c>
      <c r="J278" t="s">
        <v>103</v>
      </c>
      <c r="K278" s="6">
        <v>45153</v>
      </c>
      <c r="L278" s="23">
        <v>0.39583333333333298</v>
      </c>
      <c r="M278" s="5" t="s">
        <v>714</v>
      </c>
      <c r="N278" s="5" t="s">
        <v>55</v>
      </c>
      <c r="O278" s="8" t="s">
        <v>56</v>
      </c>
      <c r="Q278" t="s">
        <v>57</v>
      </c>
      <c r="R278" s="5" t="s">
        <v>58</v>
      </c>
      <c r="S278" s="9">
        <v>10</v>
      </c>
      <c r="T278" s="9">
        <v>5</v>
      </c>
      <c r="U278" s="9">
        <v>5</v>
      </c>
      <c r="V278" s="10">
        <f>Table1[[#This Row],[MARGIN '[€']]]/Table1[[#This Row],[SALES '[€']]]</f>
        <v>0.5</v>
      </c>
      <c r="W278" s="5">
        <v>9215166640</v>
      </c>
      <c r="X278" s="5" t="s">
        <v>715</v>
      </c>
      <c r="Y278" s="4">
        <v>57</v>
      </c>
      <c r="AA278" t="s">
        <v>89</v>
      </c>
      <c r="AL278" t="s">
        <v>61</v>
      </c>
    </row>
    <row r="279" spans="1:40" x14ac:dyDescent="0.25">
      <c r="A279" s="4">
        <v>33</v>
      </c>
      <c r="B279" t="s">
        <v>137</v>
      </c>
      <c r="C279" t="s">
        <v>49</v>
      </c>
      <c r="D279" s="5" t="s">
        <v>50</v>
      </c>
      <c r="E279" t="s">
        <v>51</v>
      </c>
      <c r="F279" s="6">
        <v>45153</v>
      </c>
      <c r="G279" s="7">
        <v>0.34722222222222199</v>
      </c>
      <c r="H279" t="s">
        <v>49</v>
      </c>
      <c r="I279" s="5" t="s">
        <v>102</v>
      </c>
      <c r="J279" t="s">
        <v>103</v>
      </c>
      <c r="K279" s="6">
        <v>45153</v>
      </c>
      <c r="L279" s="23">
        <v>0.41666666666666702</v>
      </c>
      <c r="M279" s="5" t="s">
        <v>716</v>
      </c>
      <c r="N279" s="5" t="s">
        <v>55</v>
      </c>
      <c r="O279" s="8" t="s">
        <v>56</v>
      </c>
      <c r="Q279" t="s">
        <v>64</v>
      </c>
      <c r="R279" s="5" t="s">
        <v>58</v>
      </c>
      <c r="S279" s="9">
        <v>10</v>
      </c>
      <c r="T279" s="9">
        <v>5</v>
      </c>
      <c r="U279" s="9">
        <v>5</v>
      </c>
      <c r="V279" s="10">
        <f>Table1[[#This Row],[MARGIN '[€']]]/Table1[[#This Row],[SALES '[€']]]</f>
        <v>0.5</v>
      </c>
      <c r="W279" s="5">
        <v>9215166641</v>
      </c>
      <c r="X279" s="5" t="s">
        <v>717</v>
      </c>
      <c r="Y279" s="4">
        <v>57</v>
      </c>
      <c r="AA279" t="s">
        <v>89</v>
      </c>
      <c r="AL279" t="s">
        <v>61</v>
      </c>
    </row>
    <row r="280" spans="1:40" x14ac:dyDescent="0.25">
      <c r="A280" s="4">
        <v>33</v>
      </c>
      <c r="B280" t="s">
        <v>137</v>
      </c>
      <c r="C280" t="s">
        <v>49</v>
      </c>
      <c r="D280" s="5" t="s">
        <v>50</v>
      </c>
      <c r="E280" t="s">
        <v>51</v>
      </c>
      <c r="F280" s="6">
        <v>45153</v>
      </c>
      <c r="G280" s="7">
        <v>0.56944444444444398</v>
      </c>
      <c r="H280" t="s">
        <v>49</v>
      </c>
      <c r="I280" s="5" t="s">
        <v>102</v>
      </c>
      <c r="J280" t="s">
        <v>103</v>
      </c>
      <c r="K280" s="6">
        <v>45153</v>
      </c>
      <c r="L280" s="23">
        <v>0.64583333333333304</v>
      </c>
      <c r="M280" s="5" t="s">
        <v>718</v>
      </c>
      <c r="N280" s="5" t="s">
        <v>69</v>
      </c>
      <c r="O280" s="8" t="s">
        <v>56</v>
      </c>
      <c r="Q280" t="s">
        <v>698</v>
      </c>
      <c r="R280" s="5" t="s">
        <v>699</v>
      </c>
      <c r="S280" s="9">
        <v>10</v>
      </c>
      <c r="T280" s="9">
        <v>5</v>
      </c>
      <c r="U280" s="9">
        <v>5</v>
      </c>
      <c r="V280" s="10">
        <f>Table1[[#This Row],[MARGIN '[€']]]/Table1[[#This Row],[SALES '[€']]]</f>
        <v>0.5</v>
      </c>
      <c r="W280" s="5">
        <v>9215166662</v>
      </c>
      <c r="X280" s="5" t="s">
        <v>719</v>
      </c>
      <c r="Y280" s="4">
        <v>57</v>
      </c>
      <c r="AA280" t="s">
        <v>89</v>
      </c>
      <c r="AL280" t="s">
        <v>61</v>
      </c>
    </row>
    <row r="281" spans="1:40" x14ac:dyDescent="0.25">
      <c r="A281" s="4">
        <v>33</v>
      </c>
      <c r="B281" t="s">
        <v>137</v>
      </c>
      <c r="C281" t="s">
        <v>49</v>
      </c>
      <c r="D281" s="5" t="s">
        <v>50</v>
      </c>
      <c r="E281" t="s">
        <v>51</v>
      </c>
      <c r="F281" s="6">
        <v>45153</v>
      </c>
      <c r="G281" s="7">
        <v>0.69444444444444398</v>
      </c>
      <c r="H281" t="s">
        <v>49</v>
      </c>
      <c r="I281" s="5" t="s">
        <v>102</v>
      </c>
      <c r="J281" t="s">
        <v>103</v>
      </c>
      <c r="K281" s="6">
        <v>45154</v>
      </c>
      <c r="L281" s="23">
        <v>0.25</v>
      </c>
      <c r="M281" s="5" t="s">
        <v>720</v>
      </c>
      <c r="N281" s="5" t="s">
        <v>69</v>
      </c>
      <c r="O281" s="8" t="s">
        <v>56</v>
      </c>
      <c r="Q281" t="s">
        <v>499</v>
      </c>
      <c r="R281" s="5" t="s">
        <v>500</v>
      </c>
      <c r="S281" s="9">
        <v>10</v>
      </c>
      <c r="T281" s="9">
        <v>5</v>
      </c>
      <c r="U281" s="9">
        <v>5</v>
      </c>
      <c r="V281" s="10">
        <f>Table1[[#This Row],[MARGIN '[€']]]/Table1[[#This Row],[SALES '[€']]]</f>
        <v>0.5</v>
      </c>
      <c r="W281" s="5">
        <v>9215166663</v>
      </c>
      <c r="X281" s="5" t="s">
        <v>721</v>
      </c>
      <c r="Y281" s="4">
        <v>57</v>
      </c>
      <c r="AA281" t="s">
        <v>89</v>
      </c>
      <c r="AL281" t="s">
        <v>61</v>
      </c>
    </row>
    <row r="282" spans="1:40" x14ac:dyDescent="0.25">
      <c r="A282" s="4">
        <v>33</v>
      </c>
      <c r="B282" t="s">
        <v>152</v>
      </c>
      <c r="C282" t="s">
        <v>153</v>
      </c>
      <c r="D282" s="5" t="s">
        <v>164</v>
      </c>
      <c r="E282" t="s">
        <v>165</v>
      </c>
      <c r="F282" s="6">
        <v>45154</v>
      </c>
      <c r="G282" s="7">
        <v>0.375</v>
      </c>
      <c r="H282" t="s">
        <v>49</v>
      </c>
      <c r="I282" s="5" t="s">
        <v>156</v>
      </c>
      <c r="J282" t="s">
        <v>157</v>
      </c>
      <c r="K282" s="6">
        <v>45159</v>
      </c>
      <c r="L282" s="23">
        <v>0.33333333333333298</v>
      </c>
      <c r="M282" s="5" t="s">
        <v>722</v>
      </c>
      <c r="N282" s="5" t="s">
        <v>723</v>
      </c>
      <c r="O282" s="8" t="s">
        <v>159</v>
      </c>
      <c r="Q282" t="s">
        <v>724</v>
      </c>
      <c r="R282" s="5" t="s">
        <v>161</v>
      </c>
      <c r="S282" s="9">
        <v>10</v>
      </c>
      <c r="T282" s="9">
        <v>5</v>
      </c>
      <c r="U282" s="9">
        <v>5</v>
      </c>
      <c r="V282" s="10">
        <f>Table1[[#This Row],[MARGIN '[€']]]/Table1[[#This Row],[SALES '[€']]]</f>
        <v>0.5</v>
      </c>
      <c r="W282" s="5">
        <v>9215166659</v>
      </c>
      <c r="X282" s="5" t="s">
        <v>725</v>
      </c>
      <c r="Y282" s="4">
        <v>1635</v>
      </c>
      <c r="AA282" t="s">
        <v>73</v>
      </c>
      <c r="AD282">
        <v>1</v>
      </c>
      <c r="AE282" s="3">
        <v>0.5</v>
      </c>
      <c r="AL282" t="s">
        <v>61</v>
      </c>
    </row>
    <row r="283" spans="1:40" x14ac:dyDescent="0.25">
      <c r="A283" s="4">
        <v>33</v>
      </c>
      <c r="B283" t="s">
        <v>234</v>
      </c>
      <c r="C283" t="s">
        <v>49</v>
      </c>
      <c r="D283" s="5" t="s">
        <v>50</v>
      </c>
      <c r="E283" t="s">
        <v>235</v>
      </c>
      <c r="F283" s="6">
        <v>45154</v>
      </c>
      <c r="G283" s="7">
        <v>0.33333333333333298</v>
      </c>
      <c r="H283" t="s">
        <v>726</v>
      </c>
      <c r="I283" s="5" t="s">
        <v>727</v>
      </c>
      <c r="J283" t="s">
        <v>728</v>
      </c>
      <c r="K283" s="6">
        <v>45156</v>
      </c>
      <c r="L283" s="23">
        <v>0.5</v>
      </c>
      <c r="M283" s="5">
        <v>3682605067876</v>
      </c>
      <c r="N283" s="5" t="s">
        <v>723</v>
      </c>
      <c r="O283" s="8" t="s">
        <v>450</v>
      </c>
      <c r="P283">
        <v>650</v>
      </c>
      <c r="Q283" t="s">
        <v>729</v>
      </c>
      <c r="R283" s="5" t="s">
        <v>730</v>
      </c>
      <c r="S283" s="9">
        <v>10</v>
      </c>
      <c r="T283" s="9">
        <v>5</v>
      </c>
      <c r="U283" s="9">
        <v>5</v>
      </c>
      <c r="V283" s="10">
        <f>Table1[[#This Row],[MARGIN '[€']]]/Table1[[#This Row],[SALES '[€']]]</f>
        <v>0.5</v>
      </c>
      <c r="W283" s="5" t="s">
        <v>731</v>
      </c>
      <c r="X283" s="5" t="s">
        <v>732</v>
      </c>
      <c r="Y283" s="4">
        <v>2007</v>
      </c>
      <c r="AA283" t="s">
        <v>342</v>
      </c>
      <c r="AD283">
        <v>6</v>
      </c>
      <c r="AE283" s="3">
        <v>4</v>
      </c>
      <c r="AL283" t="s">
        <v>61</v>
      </c>
    </row>
    <row r="284" spans="1:40" x14ac:dyDescent="0.25">
      <c r="A284" s="4">
        <v>33</v>
      </c>
      <c r="B284" t="s">
        <v>333</v>
      </c>
      <c r="C284" t="s">
        <v>49</v>
      </c>
      <c r="D284" s="5" t="s">
        <v>334</v>
      </c>
      <c r="E284" t="s">
        <v>335</v>
      </c>
      <c r="F284" s="6">
        <v>45154</v>
      </c>
      <c r="G284" s="7">
        <v>0.79166666666666696</v>
      </c>
      <c r="H284" t="s">
        <v>138</v>
      </c>
      <c r="I284" s="5">
        <v>85</v>
      </c>
      <c r="J284" t="s">
        <v>733</v>
      </c>
      <c r="K284" s="6">
        <v>45159</v>
      </c>
      <c r="L284" s="23">
        <v>0.5625</v>
      </c>
      <c r="M284" s="5">
        <v>1002928537</v>
      </c>
      <c r="N284" s="5" t="s">
        <v>337</v>
      </c>
      <c r="O284" s="8" t="s">
        <v>338</v>
      </c>
      <c r="P284" t="s">
        <v>339</v>
      </c>
      <c r="Q284" t="s">
        <v>734</v>
      </c>
      <c r="R284" s="5" t="s">
        <v>145</v>
      </c>
      <c r="S284" s="9">
        <v>10</v>
      </c>
      <c r="T284" s="9">
        <v>5</v>
      </c>
      <c r="U284" s="9">
        <v>5</v>
      </c>
      <c r="V284" s="10">
        <f>Table1[[#This Row],[MARGIN '[€']]]/Table1[[#This Row],[SALES '[€']]]</f>
        <v>0.5</v>
      </c>
      <c r="W284" s="5">
        <v>9215166308</v>
      </c>
      <c r="X284" s="5" t="s">
        <v>735</v>
      </c>
      <c r="Y284" s="4">
        <v>1954</v>
      </c>
      <c r="Z284" t="s">
        <v>339</v>
      </c>
      <c r="AA284" t="s">
        <v>342</v>
      </c>
      <c r="AL284" t="s">
        <v>61</v>
      </c>
    </row>
    <row r="285" spans="1:40" x14ac:dyDescent="0.25">
      <c r="A285" s="4">
        <v>33</v>
      </c>
      <c r="B285" t="s">
        <v>333</v>
      </c>
      <c r="C285" t="s">
        <v>49</v>
      </c>
      <c r="D285" s="5" t="s">
        <v>334</v>
      </c>
      <c r="E285" t="s">
        <v>335</v>
      </c>
      <c r="F285" s="6">
        <v>45154</v>
      </c>
      <c r="G285" s="7">
        <v>0.79166666666666696</v>
      </c>
      <c r="H285" t="s">
        <v>138</v>
      </c>
      <c r="I285" s="5">
        <v>51</v>
      </c>
      <c r="J285" t="s">
        <v>736</v>
      </c>
      <c r="K285" s="6">
        <v>45159</v>
      </c>
      <c r="L285" s="23">
        <v>0.64583333333333304</v>
      </c>
      <c r="M285" s="5">
        <v>1002926796</v>
      </c>
      <c r="N285" s="5" t="s">
        <v>337</v>
      </c>
      <c r="O285" s="8" t="s">
        <v>338</v>
      </c>
      <c r="P285" t="s">
        <v>339</v>
      </c>
      <c r="Q285" t="s">
        <v>737</v>
      </c>
      <c r="R285" s="5" t="s">
        <v>738</v>
      </c>
      <c r="S285" s="9">
        <v>10</v>
      </c>
      <c r="T285" s="9">
        <v>5</v>
      </c>
      <c r="U285" s="9">
        <v>5</v>
      </c>
      <c r="V285" s="10">
        <f>Table1[[#This Row],[MARGIN '[€']]]/Table1[[#This Row],[SALES '[€']]]</f>
        <v>0.5</v>
      </c>
      <c r="W285" s="5" t="s">
        <v>739</v>
      </c>
      <c r="X285" s="5" t="s">
        <v>740</v>
      </c>
      <c r="Y285" s="4">
        <v>1430</v>
      </c>
      <c r="Z285" t="s">
        <v>339</v>
      </c>
      <c r="AA285" t="s">
        <v>342</v>
      </c>
      <c r="AL285" t="s">
        <v>61</v>
      </c>
    </row>
    <row r="286" spans="1:40" x14ac:dyDescent="0.25">
      <c r="A286" s="4">
        <v>33</v>
      </c>
      <c r="B286" t="s">
        <v>333</v>
      </c>
      <c r="C286" t="s">
        <v>49</v>
      </c>
      <c r="D286" s="5" t="s">
        <v>334</v>
      </c>
      <c r="E286" t="s">
        <v>335</v>
      </c>
      <c r="F286" s="6">
        <v>45154</v>
      </c>
      <c r="G286" s="7">
        <v>0.375</v>
      </c>
      <c r="H286" t="s">
        <v>384</v>
      </c>
      <c r="I286" s="5">
        <v>29</v>
      </c>
      <c r="J286" s="6" t="s">
        <v>386</v>
      </c>
      <c r="K286" s="6">
        <v>45156</v>
      </c>
      <c r="L286" s="23">
        <v>0.33333333333333298</v>
      </c>
      <c r="M286" s="5">
        <v>1002929094</v>
      </c>
      <c r="N286" s="5" t="s">
        <v>337</v>
      </c>
      <c r="O286" s="8" t="s">
        <v>387</v>
      </c>
      <c r="P286" t="s">
        <v>339</v>
      </c>
      <c r="Q286" t="s">
        <v>741</v>
      </c>
      <c r="R286" s="5" t="s">
        <v>452</v>
      </c>
      <c r="S286" s="9">
        <v>10</v>
      </c>
      <c r="T286" s="9">
        <v>5</v>
      </c>
      <c r="U286" s="9">
        <v>5</v>
      </c>
      <c r="V286" s="10">
        <f>Table1[[#This Row],[MARGIN '[€']]]/Table1[[#This Row],[SALES '[€']]]</f>
        <v>0.5</v>
      </c>
      <c r="W286" s="5" t="s">
        <v>742</v>
      </c>
      <c r="X286" s="5" t="s">
        <v>743</v>
      </c>
      <c r="Y286" s="4">
        <v>1233</v>
      </c>
      <c r="Z286" t="s">
        <v>339</v>
      </c>
      <c r="AA286" t="s">
        <v>342</v>
      </c>
      <c r="AL286" t="s">
        <v>61</v>
      </c>
    </row>
    <row r="287" spans="1:40" x14ac:dyDescent="0.25">
      <c r="A287" s="4">
        <v>33</v>
      </c>
      <c r="B287" t="s">
        <v>234</v>
      </c>
      <c r="C287" t="s">
        <v>49</v>
      </c>
      <c r="D287" s="5" t="s">
        <v>50</v>
      </c>
      <c r="E287" t="s">
        <v>235</v>
      </c>
      <c r="F287" s="6">
        <v>45154</v>
      </c>
      <c r="G287" s="7">
        <v>0.625</v>
      </c>
      <c r="H287" t="s">
        <v>600</v>
      </c>
      <c r="I287" s="5" t="s">
        <v>601</v>
      </c>
      <c r="J287" t="s">
        <v>602</v>
      </c>
      <c r="K287" s="6">
        <v>45155</v>
      </c>
      <c r="L287" s="23">
        <v>0.70833333333333304</v>
      </c>
      <c r="N287" s="5" t="s">
        <v>142</v>
      </c>
      <c r="O287" s="8" t="s">
        <v>450</v>
      </c>
      <c r="Q287" t="s">
        <v>603</v>
      </c>
      <c r="R287" s="5" t="s">
        <v>604</v>
      </c>
      <c r="S287" s="9">
        <v>10</v>
      </c>
      <c r="T287" s="9">
        <v>5</v>
      </c>
      <c r="U287" s="9">
        <v>5</v>
      </c>
      <c r="V287" s="10">
        <f>Table1[[#This Row],[MARGIN '[€']]]/Table1[[#This Row],[SALES '[€']]]</f>
        <v>0.5</v>
      </c>
      <c r="W287" s="5" t="s">
        <v>744</v>
      </c>
      <c r="X287" s="5" t="s">
        <v>745</v>
      </c>
      <c r="Y287" s="4">
        <v>733</v>
      </c>
      <c r="AA287" t="s">
        <v>163</v>
      </c>
      <c r="AL287" t="s">
        <v>61</v>
      </c>
    </row>
    <row r="288" spans="1:40" x14ac:dyDescent="0.25">
      <c r="A288" s="4">
        <v>33</v>
      </c>
      <c r="B288" t="s">
        <v>48</v>
      </c>
      <c r="C288" t="s">
        <v>49</v>
      </c>
      <c r="D288" s="5" t="s">
        <v>50</v>
      </c>
      <c r="E288" t="s">
        <v>51</v>
      </c>
      <c r="F288" s="6">
        <v>45154</v>
      </c>
      <c r="G288" s="7">
        <v>0.26388888888888901</v>
      </c>
      <c r="H288" t="s">
        <v>90</v>
      </c>
      <c r="I288" s="5">
        <v>24</v>
      </c>
      <c r="J288" t="s">
        <v>92</v>
      </c>
      <c r="K288" s="6">
        <v>45154</v>
      </c>
      <c r="L288" s="23">
        <v>0.61805555555555602</v>
      </c>
      <c r="M288" s="5">
        <v>119644</v>
      </c>
      <c r="N288" s="5" t="s">
        <v>69</v>
      </c>
      <c r="O288" s="8" t="s">
        <v>56</v>
      </c>
      <c r="Q288" t="s">
        <v>526</v>
      </c>
      <c r="R288" s="5" t="s">
        <v>98</v>
      </c>
      <c r="S288" s="9">
        <v>10</v>
      </c>
      <c r="T288" s="9">
        <v>5</v>
      </c>
      <c r="U288" s="9">
        <v>5</v>
      </c>
      <c r="V288" s="10">
        <f>Table1[[#This Row],[MARGIN '[€']]]/Table1[[#This Row],[SALES '[€']]]</f>
        <v>0.5</v>
      </c>
      <c r="W288" s="5">
        <v>9215166642</v>
      </c>
      <c r="X288" s="5" t="s">
        <v>746</v>
      </c>
      <c r="Y288" s="4">
        <v>441</v>
      </c>
      <c r="Z288" t="s">
        <v>747</v>
      </c>
      <c r="AA288" t="s">
        <v>60</v>
      </c>
      <c r="AL288" t="s">
        <v>61</v>
      </c>
    </row>
    <row r="289" spans="1:38" x14ac:dyDescent="0.25">
      <c r="A289" s="4">
        <v>33</v>
      </c>
      <c r="B289" t="s">
        <v>48</v>
      </c>
      <c r="C289" t="s">
        <v>49</v>
      </c>
      <c r="D289" s="5" t="s">
        <v>50</v>
      </c>
      <c r="E289" t="s">
        <v>51</v>
      </c>
      <c r="F289" s="6">
        <v>45154</v>
      </c>
      <c r="G289" s="7">
        <v>0.14583333333333301</v>
      </c>
      <c r="H289" t="s">
        <v>90</v>
      </c>
      <c r="I289" s="5">
        <v>24</v>
      </c>
      <c r="J289" t="s">
        <v>92</v>
      </c>
      <c r="K289" s="6">
        <v>45154</v>
      </c>
      <c r="L289" s="23">
        <v>0.55555555555555602</v>
      </c>
      <c r="M289" s="5">
        <v>119646</v>
      </c>
      <c r="N289" s="5" t="s">
        <v>69</v>
      </c>
      <c r="O289" s="8" t="s">
        <v>56</v>
      </c>
      <c r="Q289" t="s">
        <v>748</v>
      </c>
      <c r="R289" s="5" t="s">
        <v>98</v>
      </c>
      <c r="S289" s="9">
        <v>10</v>
      </c>
      <c r="T289" s="9">
        <v>5</v>
      </c>
      <c r="U289" s="9">
        <v>5</v>
      </c>
      <c r="V289" s="10">
        <f>Table1[[#This Row],[MARGIN '[€']]]/Table1[[#This Row],[SALES '[€']]]</f>
        <v>0.5</v>
      </c>
      <c r="W289" s="5">
        <v>9215166643</v>
      </c>
      <c r="X289" s="5" t="s">
        <v>749</v>
      </c>
      <c r="Y289" s="4">
        <v>441</v>
      </c>
      <c r="Z289" t="s">
        <v>750</v>
      </c>
      <c r="AA289" t="s">
        <v>60</v>
      </c>
      <c r="AL289" t="s">
        <v>61</v>
      </c>
    </row>
    <row r="290" spans="1:38" x14ac:dyDescent="0.25">
      <c r="A290" s="4">
        <v>33</v>
      </c>
      <c r="B290" t="s">
        <v>48</v>
      </c>
      <c r="C290" t="s">
        <v>49</v>
      </c>
      <c r="D290" s="5" t="s">
        <v>50</v>
      </c>
      <c r="E290" t="s">
        <v>51</v>
      </c>
      <c r="F290" s="6">
        <v>45154</v>
      </c>
      <c r="G290" s="7">
        <v>0.83333333333333304</v>
      </c>
      <c r="H290" t="s">
        <v>90</v>
      </c>
      <c r="I290" s="5">
        <v>24</v>
      </c>
      <c r="J290" t="s">
        <v>92</v>
      </c>
      <c r="K290" s="6">
        <v>45155</v>
      </c>
      <c r="L290" s="23">
        <v>0.243055555555556</v>
      </c>
      <c r="M290" s="5">
        <v>119648</v>
      </c>
      <c r="N290" s="5" t="s">
        <v>69</v>
      </c>
      <c r="O290" s="8" t="s">
        <v>56</v>
      </c>
      <c r="Q290" t="s">
        <v>197</v>
      </c>
      <c r="R290" s="5" t="s">
        <v>98</v>
      </c>
      <c r="S290" s="9">
        <v>10</v>
      </c>
      <c r="T290" s="9">
        <v>5</v>
      </c>
      <c r="U290" s="9">
        <v>5</v>
      </c>
      <c r="V290" s="10">
        <f>Table1[[#This Row],[MARGIN '[€']]]/Table1[[#This Row],[SALES '[€']]]</f>
        <v>0.5</v>
      </c>
      <c r="W290" s="5">
        <v>9215166644</v>
      </c>
      <c r="X290" s="5" t="s">
        <v>751</v>
      </c>
      <c r="Y290" s="4">
        <v>441</v>
      </c>
      <c r="Z290" t="s">
        <v>752</v>
      </c>
      <c r="AA290" t="s">
        <v>60</v>
      </c>
      <c r="AL290" t="s">
        <v>61</v>
      </c>
    </row>
    <row r="291" spans="1:38" x14ac:dyDescent="0.25">
      <c r="A291" s="4">
        <v>33</v>
      </c>
      <c r="B291" t="s">
        <v>48</v>
      </c>
      <c r="C291" t="s">
        <v>49</v>
      </c>
      <c r="D291" s="5" t="s">
        <v>50</v>
      </c>
      <c r="E291" t="s">
        <v>51</v>
      </c>
      <c r="F291" s="6">
        <v>45154</v>
      </c>
      <c r="G291" s="7">
        <v>0.68055555555555503</v>
      </c>
      <c r="H291" t="s">
        <v>90</v>
      </c>
      <c r="I291" s="5">
        <v>24</v>
      </c>
      <c r="J291" t="s">
        <v>92</v>
      </c>
      <c r="K291" s="6">
        <v>45155</v>
      </c>
      <c r="L291" s="23">
        <v>0.45833333333333298</v>
      </c>
      <c r="M291" s="5">
        <v>119757</v>
      </c>
      <c r="N291" s="5" t="s">
        <v>69</v>
      </c>
      <c r="O291" s="8" t="s">
        <v>56</v>
      </c>
      <c r="P291" t="s">
        <v>76</v>
      </c>
      <c r="Q291" t="s">
        <v>117</v>
      </c>
      <c r="R291" s="5" t="s">
        <v>118</v>
      </c>
      <c r="S291" s="9">
        <v>10</v>
      </c>
      <c r="T291" s="9">
        <v>5</v>
      </c>
      <c r="U291" s="9">
        <v>5</v>
      </c>
      <c r="V291" s="10">
        <f>Table1[[#This Row],[MARGIN '[€']]]/Table1[[#This Row],[SALES '[€']]]</f>
        <v>0.5</v>
      </c>
      <c r="W291" s="5" t="s">
        <v>753</v>
      </c>
      <c r="X291" s="5" t="s">
        <v>754</v>
      </c>
      <c r="Y291" s="4">
        <v>441</v>
      </c>
      <c r="Z291" t="s">
        <v>755</v>
      </c>
      <c r="AA291" t="s">
        <v>60</v>
      </c>
      <c r="AL291" t="s">
        <v>61</v>
      </c>
    </row>
    <row r="292" spans="1:38" x14ac:dyDescent="0.25">
      <c r="A292" s="4">
        <v>33</v>
      </c>
      <c r="B292" t="s">
        <v>48</v>
      </c>
      <c r="C292" t="s">
        <v>49</v>
      </c>
      <c r="D292" s="5" t="s">
        <v>50</v>
      </c>
      <c r="E292" t="s">
        <v>51</v>
      </c>
      <c r="F292" s="6">
        <v>45154</v>
      </c>
      <c r="G292" s="7">
        <v>0.40277777777777801</v>
      </c>
      <c r="H292" t="s">
        <v>90</v>
      </c>
      <c r="I292" s="5">
        <v>24</v>
      </c>
      <c r="J292" t="s">
        <v>92</v>
      </c>
      <c r="K292" s="6">
        <v>45155</v>
      </c>
      <c r="L292" s="23">
        <v>0.30902777777777801</v>
      </c>
      <c r="M292" s="5">
        <v>119758</v>
      </c>
      <c r="N292" s="5" t="s">
        <v>69</v>
      </c>
      <c r="O292" s="8" t="s">
        <v>56</v>
      </c>
      <c r="Q292" t="s">
        <v>756</v>
      </c>
      <c r="R292" s="5" t="s">
        <v>201</v>
      </c>
      <c r="S292" s="9">
        <v>10</v>
      </c>
      <c r="T292" s="9">
        <v>5</v>
      </c>
      <c r="U292" s="9">
        <v>5</v>
      </c>
      <c r="V292" s="10">
        <f>Table1[[#This Row],[MARGIN '[€']]]/Table1[[#This Row],[SALES '[€']]]</f>
        <v>0.5</v>
      </c>
      <c r="W292" s="5">
        <v>9215166645</v>
      </c>
      <c r="X292" s="5" t="s">
        <v>757</v>
      </c>
      <c r="Y292" s="4">
        <v>441</v>
      </c>
      <c r="Z292" t="s">
        <v>758</v>
      </c>
      <c r="AA292" t="s">
        <v>60</v>
      </c>
      <c r="AL292" t="s">
        <v>61</v>
      </c>
    </row>
    <row r="293" spans="1:38" x14ac:dyDescent="0.25">
      <c r="A293" s="4">
        <v>33</v>
      </c>
      <c r="B293" t="s">
        <v>48</v>
      </c>
      <c r="C293" t="s">
        <v>49</v>
      </c>
      <c r="D293" s="5" t="s">
        <v>50</v>
      </c>
      <c r="E293" t="s">
        <v>51</v>
      </c>
      <c r="F293" s="6">
        <v>45154</v>
      </c>
      <c r="G293" s="7">
        <v>0.27777777777777801</v>
      </c>
      <c r="H293" t="s">
        <v>90</v>
      </c>
      <c r="I293" s="5">
        <v>24</v>
      </c>
      <c r="J293" t="s">
        <v>92</v>
      </c>
      <c r="K293" s="6">
        <v>45155</v>
      </c>
      <c r="L293" s="23">
        <v>0.39583333333333298</v>
      </c>
      <c r="M293" s="5">
        <v>119759</v>
      </c>
      <c r="N293" s="5" t="s">
        <v>69</v>
      </c>
      <c r="O293" s="8" t="s">
        <v>56</v>
      </c>
      <c r="Q293" t="s">
        <v>129</v>
      </c>
      <c r="R293" s="5" t="s">
        <v>94</v>
      </c>
      <c r="S293" s="9">
        <v>10</v>
      </c>
      <c r="T293" s="9">
        <v>5</v>
      </c>
      <c r="U293" s="9">
        <v>5</v>
      </c>
      <c r="V293" s="10">
        <f>Table1[[#This Row],[MARGIN '[€']]]/Table1[[#This Row],[SALES '[€']]]</f>
        <v>0.5</v>
      </c>
      <c r="W293" s="5">
        <v>9215166646</v>
      </c>
      <c r="X293" s="5" t="s">
        <v>759</v>
      </c>
      <c r="Y293" s="4">
        <v>441</v>
      </c>
      <c r="Z293" t="s">
        <v>760</v>
      </c>
      <c r="AA293" t="s">
        <v>60</v>
      </c>
      <c r="AL293" t="s">
        <v>61</v>
      </c>
    </row>
    <row r="294" spans="1:38" x14ac:dyDescent="0.25">
      <c r="A294" s="4">
        <v>33</v>
      </c>
      <c r="B294" t="s">
        <v>48</v>
      </c>
      <c r="C294" t="s">
        <v>49</v>
      </c>
      <c r="D294" s="5" t="s">
        <v>50</v>
      </c>
      <c r="E294" t="s">
        <v>51</v>
      </c>
      <c r="F294" s="6">
        <v>45154</v>
      </c>
      <c r="G294" s="7">
        <v>0.60416666666666696</v>
      </c>
      <c r="H294" t="s">
        <v>90</v>
      </c>
      <c r="I294" s="5">
        <v>24</v>
      </c>
      <c r="J294" t="s">
        <v>92</v>
      </c>
      <c r="K294" s="6">
        <v>45155</v>
      </c>
      <c r="L294" s="23">
        <v>0.58333333333333304</v>
      </c>
      <c r="M294" s="5">
        <v>119760</v>
      </c>
      <c r="N294" s="5" t="s">
        <v>69</v>
      </c>
      <c r="O294" s="8" t="s">
        <v>56</v>
      </c>
      <c r="Q294" t="s">
        <v>614</v>
      </c>
      <c r="R294" s="5" t="s">
        <v>615</v>
      </c>
      <c r="S294" s="9">
        <v>10</v>
      </c>
      <c r="T294" s="9">
        <v>5</v>
      </c>
      <c r="U294" s="9">
        <v>5</v>
      </c>
      <c r="V294" s="10">
        <f>Table1[[#This Row],[MARGIN '[€']]]/Table1[[#This Row],[SALES '[€']]]</f>
        <v>0.5</v>
      </c>
      <c r="W294" s="5">
        <v>9215166668</v>
      </c>
      <c r="X294" s="5" t="s">
        <v>761</v>
      </c>
      <c r="Y294" s="4">
        <v>441</v>
      </c>
      <c r="Z294" t="s">
        <v>762</v>
      </c>
      <c r="AA294" t="s">
        <v>60</v>
      </c>
      <c r="AL294" t="s">
        <v>61</v>
      </c>
    </row>
    <row r="295" spans="1:38" x14ac:dyDescent="0.25">
      <c r="A295" s="4">
        <v>33</v>
      </c>
      <c r="B295" t="s">
        <v>48</v>
      </c>
      <c r="C295" t="s">
        <v>49</v>
      </c>
      <c r="D295" s="5" t="s">
        <v>50</v>
      </c>
      <c r="E295" t="s">
        <v>51</v>
      </c>
      <c r="F295" s="6">
        <v>45154</v>
      </c>
      <c r="G295" s="7">
        <v>0.63888888888888895</v>
      </c>
      <c r="H295" t="s">
        <v>90</v>
      </c>
      <c r="I295" s="5">
        <v>24</v>
      </c>
      <c r="J295" t="s">
        <v>92</v>
      </c>
      <c r="K295" s="6">
        <v>45155</v>
      </c>
      <c r="L295" s="3">
        <v>0.66666666666666696</v>
      </c>
      <c r="M295" s="5">
        <v>119761</v>
      </c>
      <c r="N295" s="5" t="s">
        <v>69</v>
      </c>
      <c r="O295" s="8" t="s">
        <v>56</v>
      </c>
      <c r="Q295" t="s">
        <v>763</v>
      </c>
      <c r="R295" s="5" t="s">
        <v>135</v>
      </c>
      <c r="S295" s="9">
        <v>10</v>
      </c>
      <c r="T295" s="9">
        <v>5</v>
      </c>
      <c r="U295" s="9">
        <v>5</v>
      </c>
      <c r="V295" s="10">
        <f>Table1[[#This Row],[MARGIN '[€']]]/Table1[[#This Row],[SALES '[€']]]</f>
        <v>0.5</v>
      </c>
      <c r="W295" s="5">
        <v>9215166672</v>
      </c>
      <c r="X295" s="5" t="s">
        <v>764</v>
      </c>
      <c r="Y295" s="4">
        <v>441</v>
      </c>
      <c r="Z295" t="s">
        <v>765</v>
      </c>
      <c r="AA295" t="s">
        <v>60</v>
      </c>
      <c r="AL295" t="s">
        <v>61</v>
      </c>
    </row>
    <row r="296" spans="1:38" x14ac:dyDescent="0.25">
      <c r="A296" s="4">
        <v>33</v>
      </c>
      <c r="B296" t="s">
        <v>48</v>
      </c>
      <c r="C296" t="s">
        <v>49</v>
      </c>
      <c r="D296" s="5" t="s">
        <v>50</v>
      </c>
      <c r="E296" t="s">
        <v>51</v>
      </c>
      <c r="F296" s="6">
        <v>45154</v>
      </c>
      <c r="G296" s="7">
        <v>0.16666666666666699</v>
      </c>
      <c r="H296" t="s">
        <v>52</v>
      </c>
      <c r="I296" s="5">
        <v>35</v>
      </c>
      <c r="J296" t="s">
        <v>54</v>
      </c>
      <c r="K296" s="6">
        <v>45154</v>
      </c>
      <c r="L296" s="23">
        <v>0.75</v>
      </c>
      <c r="M296" s="5">
        <v>119794</v>
      </c>
      <c r="N296" s="5" t="s">
        <v>55</v>
      </c>
      <c r="O296" s="8" t="s">
        <v>56</v>
      </c>
      <c r="Q296" t="s">
        <v>62</v>
      </c>
      <c r="R296" s="5" t="s">
        <v>58</v>
      </c>
      <c r="S296" s="9">
        <v>10</v>
      </c>
      <c r="T296" s="9">
        <v>5</v>
      </c>
      <c r="U296" s="9">
        <v>5</v>
      </c>
      <c r="V296" s="10">
        <f>Table1[[#This Row],[MARGIN '[€']]]/Table1[[#This Row],[SALES '[€']]]</f>
        <v>0.5</v>
      </c>
      <c r="W296" s="5">
        <v>9215166664</v>
      </c>
      <c r="X296" s="5" t="s">
        <v>766</v>
      </c>
      <c r="Y296" s="4">
        <v>82</v>
      </c>
      <c r="AA296" t="s">
        <v>60</v>
      </c>
      <c r="AL296" t="s">
        <v>61</v>
      </c>
    </row>
    <row r="297" spans="1:38" x14ac:dyDescent="0.25">
      <c r="A297" s="4">
        <v>33</v>
      </c>
      <c r="B297" t="s">
        <v>48</v>
      </c>
      <c r="C297" t="s">
        <v>49</v>
      </c>
      <c r="D297" s="5" t="s">
        <v>50</v>
      </c>
      <c r="E297" t="s">
        <v>51</v>
      </c>
      <c r="F297" s="6">
        <v>45154</v>
      </c>
      <c r="G297" s="7">
        <v>0.1875</v>
      </c>
      <c r="H297" t="s">
        <v>52</v>
      </c>
      <c r="I297" s="5">
        <v>35</v>
      </c>
      <c r="J297" t="s">
        <v>54</v>
      </c>
      <c r="K297" s="6">
        <v>45154</v>
      </c>
      <c r="L297" s="23">
        <v>0.75</v>
      </c>
      <c r="M297" s="5">
        <v>119795</v>
      </c>
      <c r="N297" s="5" t="s">
        <v>55</v>
      </c>
      <c r="O297" s="8" t="s">
        <v>56</v>
      </c>
      <c r="Q297" t="s">
        <v>57</v>
      </c>
      <c r="R297" s="5" t="s">
        <v>58</v>
      </c>
      <c r="S297" s="9">
        <v>10</v>
      </c>
      <c r="T297" s="9">
        <v>5</v>
      </c>
      <c r="U297" s="9">
        <v>5</v>
      </c>
      <c r="V297" s="10">
        <f>Table1[[#This Row],[MARGIN '[€']]]/Table1[[#This Row],[SALES '[€']]]</f>
        <v>0.5</v>
      </c>
      <c r="W297" s="5">
        <v>9215166669</v>
      </c>
      <c r="X297" s="5" t="s">
        <v>767</v>
      </c>
      <c r="Y297" s="4">
        <v>82</v>
      </c>
      <c r="AA297" t="s">
        <v>60</v>
      </c>
      <c r="AL297" t="s">
        <v>61</v>
      </c>
    </row>
    <row r="298" spans="1:38" x14ac:dyDescent="0.25">
      <c r="A298" s="4">
        <v>33</v>
      </c>
      <c r="B298" t="s">
        <v>48</v>
      </c>
      <c r="C298" t="s">
        <v>49</v>
      </c>
      <c r="D298" s="5" t="s">
        <v>50</v>
      </c>
      <c r="E298" t="s">
        <v>51</v>
      </c>
      <c r="F298" s="6">
        <v>45154</v>
      </c>
      <c r="G298" s="7">
        <v>0.20833333333333301</v>
      </c>
      <c r="H298" t="s">
        <v>52</v>
      </c>
      <c r="I298" s="5">
        <v>35</v>
      </c>
      <c r="J298" t="s">
        <v>54</v>
      </c>
      <c r="K298" s="6">
        <v>45154</v>
      </c>
      <c r="L298" s="23">
        <v>0.75</v>
      </c>
      <c r="M298" s="5">
        <v>119796</v>
      </c>
      <c r="N298" s="5" t="s">
        <v>55</v>
      </c>
      <c r="O298" s="8" t="s">
        <v>56</v>
      </c>
      <c r="Q298" t="s">
        <v>64</v>
      </c>
      <c r="R298" s="5" t="s">
        <v>58</v>
      </c>
      <c r="S298" s="9">
        <v>10</v>
      </c>
      <c r="T298" s="9">
        <v>5</v>
      </c>
      <c r="U298" s="9">
        <v>5</v>
      </c>
      <c r="V298" s="10">
        <f>Table1[[#This Row],[MARGIN '[€']]]/Table1[[#This Row],[SALES '[€']]]</f>
        <v>0.5</v>
      </c>
      <c r="W298" s="5">
        <v>9215166674</v>
      </c>
      <c r="X298" s="5" t="s">
        <v>768</v>
      </c>
      <c r="Y298" s="4">
        <v>82</v>
      </c>
      <c r="AA298" t="s">
        <v>60</v>
      </c>
      <c r="AL298" t="s">
        <v>61</v>
      </c>
    </row>
    <row r="299" spans="1:38" x14ac:dyDescent="0.25">
      <c r="A299" s="4">
        <v>33</v>
      </c>
      <c r="B299" t="s">
        <v>48</v>
      </c>
      <c r="C299" t="s">
        <v>49</v>
      </c>
      <c r="D299" s="5" t="s">
        <v>50</v>
      </c>
      <c r="E299" t="s">
        <v>51</v>
      </c>
      <c r="F299" s="6">
        <v>45154</v>
      </c>
      <c r="G299" s="7">
        <v>0.33333333333333298</v>
      </c>
      <c r="H299" t="s">
        <v>52</v>
      </c>
      <c r="I299" s="5">
        <v>35</v>
      </c>
      <c r="J299" t="s">
        <v>54</v>
      </c>
      <c r="K299" s="6">
        <v>45154</v>
      </c>
      <c r="L299" s="23">
        <v>0.75</v>
      </c>
      <c r="M299" s="5">
        <v>119797</v>
      </c>
      <c r="N299" s="5" t="s">
        <v>55</v>
      </c>
      <c r="O299" s="8" t="s">
        <v>56</v>
      </c>
      <c r="Q299" t="s">
        <v>62</v>
      </c>
      <c r="R299" s="5" t="s">
        <v>58</v>
      </c>
      <c r="S299" s="9">
        <v>10</v>
      </c>
      <c r="T299" s="9">
        <v>5</v>
      </c>
      <c r="U299" s="9">
        <v>5</v>
      </c>
      <c r="V299" s="10">
        <f>Table1[[#This Row],[MARGIN '[€']]]/Table1[[#This Row],[SALES '[€']]]</f>
        <v>0.5</v>
      </c>
      <c r="W299" s="5">
        <v>9215166665</v>
      </c>
      <c r="X299" s="5" t="s">
        <v>766</v>
      </c>
      <c r="Y299" s="4">
        <v>82</v>
      </c>
      <c r="AA299" t="s">
        <v>60</v>
      </c>
      <c r="AL299" t="s">
        <v>61</v>
      </c>
    </row>
    <row r="300" spans="1:38" x14ac:dyDescent="0.25">
      <c r="A300" s="4">
        <v>33</v>
      </c>
      <c r="B300" t="s">
        <v>48</v>
      </c>
      <c r="C300" t="s">
        <v>49</v>
      </c>
      <c r="D300" s="5" t="s">
        <v>50</v>
      </c>
      <c r="E300" t="s">
        <v>51</v>
      </c>
      <c r="F300" s="6">
        <v>45154</v>
      </c>
      <c r="G300" s="7">
        <v>0.34722222222222199</v>
      </c>
      <c r="H300" t="s">
        <v>52</v>
      </c>
      <c r="I300" s="5">
        <v>35</v>
      </c>
      <c r="J300" t="s">
        <v>54</v>
      </c>
      <c r="K300" s="6">
        <v>45154</v>
      </c>
      <c r="L300" s="23">
        <v>0.75</v>
      </c>
      <c r="M300" s="5">
        <v>119798</v>
      </c>
      <c r="N300" s="5" t="s">
        <v>55</v>
      </c>
      <c r="O300" s="8" t="s">
        <v>56</v>
      </c>
      <c r="Q300" t="s">
        <v>57</v>
      </c>
      <c r="R300" s="5" t="s">
        <v>58</v>
      </c>
      <c r="S300" s="9">
        <v>10</v>
      </c>
      <c r="T300" s="9">
        <v>5</v>
      </c>
      <c r="U300" s="9">
        <v>5</v>
      </c>
      <c r="V300" s="10">
        <f>Table1[[#This Row],[MARGIN '[€']]]/Table1[[#This Row],[SALES '[€']]]</f>
        <v>0.5</v>
      </c>
      <c r="W300" s="5">
        <v>9215166671</v>
      </c>
      <c r="X300" s="5" t="s">
        <v>767</v>
      </c>
      <c r="Y300" s="4">
        <v>82</v>
      </c>
      <c r="AA300" t="s">
        <v>60</v>
      </c>
      <c r="AL300" t="s">
        <v>61</v>
      </c>
    </row>
    <row r="301" spans="1:38" x14ac:dyDescent="0.25">
      <c r="A301" s="4">
        <v>33</v>
      </c>
      <c r="B301" t="s">
        <v>48</v>
      </c>
      <c r="C301" t="s">
        <v>49</v>
      </c>
      <c r="D301" s="5" t="s">
        <v>50</v>
      </c>
      <c r="E301" t="s">
        <v>51</v>
      </c>
      <c r="F301" s="6">
        <v>45154</v>
      </c>
      <c r="G301" s="7">
        <v>0.36111111111111099</v>
      </c>
      <c r="H301" t="s">
        <v>52</v>
      </c>
      <c r="I301" s="5">
        <v>35</v>
      </c>
      <c r="J301" t="s">
        <v>54</v>
      </c>
      <c r="K301" s="6">
        <v>45154</v>
      </c>
      <c r="L301" s="23">
        <v>0.75</v>
      </c>
      <c r="M301" s="5">
        <v>119799</v>
      </c>
      <c r="N301" s="5" t="s">
        <v>55</v>
      </c>
      <c r="O301" s="8" t="s">
        <v>56</v>
      </c>
      <c r="Q301" t="s">
        <v>64</v>
      </c>
      <c r="R301" s="5" t="s">
        <v>58</v>
      </c>
      <c r="S301" s="9">
        <v>10</v>
      </c>
      <c r="T301" s="9">
        <v>5</v>
      </c>
      <c r="U301" s="9">
        <v>5</v>
      </c>
      <c r="V301" s="10">
        <f>Table1[[#This Row],[MARGIN '[€']]]/Table1[[#This Row],[SALES '[€']]]</f>
        <v>0.5</v>
      </c>
      <c r="W301" s="5">
        <v>9215166675</v>
      </c>
      <c r="X301" s="5" t="s">
        <v>768</v>
      </c>
      <c r="Y301" s="4">
        <v>82</v>
      </c>
      <c r="AA301" t="s">
        <v>60</v>
      </c>
      <c r="AL301" t="s">
        <v>61</v>
      </c>
    </row>
    <row r="302" spans="1:38" x14ac:dyDescent="0.25">
      <c r="A302" s="4">
        <v>33</v>
      </c>
      <c r="B302" t="s">
        <v>48</v>
      </c>
      <c r="C302" t="s">
        <v>49</v>
      </c>
      <c r="D302" s="5" t="s">
        <v>50</v>
      </c>
      <c r="E302" t="s">
        <v>51</v>
      </c>
      <c r="F302" s="6">
        <v>45154</v>
      </c>
      <c r="G302" s="7">
        <v>0.47222222222222199</v>
      </c>
      <c r="H302" t="s">
        <v>52</v>
      </c>
      <c r="I302" s="5">
        <v>35</v>
      </c>
      <c r="J302" t="s">
        <v>54</v>
      </c>
      <c r="K302" s="6">
        <v>45154</v>
      </c>
      <c r="L302" s="23">
        <v>0.75</v>
      </c>
      <c r="M302" s="5">
        <v>119800</v>
      </c>
      <c r="N302" s="5" t="s">
        <v>55</v>
      </c>
      <c r="O302" s="8" t="s">
        <v>56</v>
      </c>
      <c r="Q302" t="s">
        <v>62</v>
      </c>
      <c r="R302" s="5" t="s">
        <v>58</v>
      </c>
      <c r="S302" s="9">
        <v>10</v>
      </c>
      <c r="T302" s="9">
        <v>5</v>
      </c>
      <c r="U302" s="9">
        <v>5</v>
      </c>
      <c r="V302" s="10">
        <f>Table1[[#This Row],[MARGIN '[€']]]/Table1[[#This Row],[SALES '[€']]]</f>
        <v>0.5</v>
      </c>
      <c r="W302" s="5">
        <v>9215166666</v>
      </c>
      <c r="X302" s="5" t="s">
        <v>766</v>
      </c>
      <c r="Y302" s="4">
        <v>82</v>
      </c>
      <c r="AA302" t="s">
        <v>60</v>
      </c>
      <c r="AL302" t="s">
        <v>61</v>
      </c>
    </row>
    <row r="303" spans="1:38" x14ac:dyDescent="0.25">
      <c r="A303" s="4">
        <v>33</v>
      </c>
      <c r="B303" t="s">
        <v>48</v>
      </c>
      <c r="C303" t="s">
        <v>49</v>
      </c>
      <c r="D303" s="5" t="s">
        <v>50</v>
      </c>
      <c r="E303" t="s">
        <v>51</v>
      </c>
      <c r="F303" s="6">
        <v>45154</v>
      </c>
      <c r="G303" s="7">
        <v>0.48611111111111099</v>
      </c>
      <c r="H303" t="s">
        <v>52</v>
      </c>
      <c r="I303" s="5">
        <v>35</v>
      </c>
      <c r="J303" t="s">
        <v>54</v>
      </c>
      <c r="K303" s="6">
        <v>45154</v>
      </c>
      <c r="L303" s="23">
        <v>0.75</v>
      </c>
      <c r="M303" s="5">
        <v>119801</v>
      </c>
      <c r="N303" s="5" t="s">
        <v>55</v>
      </c>
      <c r="O303" s="8" t="s">
        <v>56</v>
      </c>
      <c r="Q303" t="s">
        <v>57</v>
      </c>
      <c r="R303" s="5" t="s">
        <v>58</v>
      </c>
      <c r="S303" s="9">
        <v>10</v>
      </c>
      <c r="T303" s="9">
        <v>5</v>
      </c>
      <c r="U303" s="9">
        <v>5</v>
      </c>
      <c r="V303" s="10">
        <f>Table1[[#This Row],[MARGIN '[€']]]/Table1[[#This Row],[SALES '[€']]]</f>
        <v>0.5</v>
      </c>
      <c r="W303" s="5">
        <v>9215166673</v>
      </c>
      <c r="X303" s="5" t="s">
        <v>767</v>
      </c>
      <c r="Y303" s="4">
        <v>82</v>
      </c>
      <c r="AA303" t="s">
        <v>60</v>
      </c>
      <c r="AL303" t="s">
        <v>61</v>
      </c>
    </row>
    <row r="304" spans="1:38" x14ac:dyDescent="0.25">
      <c r="A304" s="4">
        <v>33</v>
      </c>
      <c r="B304" t="s">
        <v>48</v>
      </c>
      <c r="C304" t="s">
        <v>49</v>
      </c>
      <c r="D304" s="5" t="s">
        <v>50</v>
      </c>
      <c r="E304" t="s">
        <v>51</v>
      </c>
      <c r="F304" s="6">
        <v>45154</v>
      </c>
      <c r="G304" s="7">
        <v>0.5</v>
      </c>
      <c r="H304" t="s">
        <v>52</v>
      </c>
      <c r="I304" s="5">
        <v>35</v>
      </c>
      <c r="J304" t="s">
        <v>54</v>
      </c>
      <c r="K304" s="6">
        <v>45154</v>
      </c>
      <c r="L304" s="23">
        <v>0.75</v>
      </c>
      <c r="M304" s="5">
        <v>119802</v>
      </c>
      <c r="N304" s="5" t="s">
        <v>55</v>
      </c>
      <c r="O304" s="8" t="s">
        <v>56</v>
      </c>
      <c r="Q304" t="s">
        <v>64</v>
      </c>
      <c r="R304" s="5" t="s">
        <v>58</v>
      </c>
      <c r="S304" s="9">
        <v>10</v>
      </c>
      <c r="T304" s="9">
        <v>5</v>
      </c>
      <c r="U304" s="9">
        <v>5</v>
      </c>
      <c r="V304" s="10">
        <f>Table1[[#This Row],[MARGIN '[€']]]/Table1[[#This Row],[SALES '[€']]]</f>
        <v>0.5</v>
      </c>
      <c r="W304" s="5">
        <v>9215166676</v>
      </c>
      <c r="X304" s="5" t="s">
        <v>768</v>
      </c>
      <c r="Y304" s="4">
        <v>82</v>
      </c>
      <c r="AA304" t="s">
        <v>60</v>
      </c>
      <c r="AL304" t="s">
        <v>61</v>
      </c>
    </row>
    <row r="305" spans="1:38" x14ac:dyDescent="0.25">
      <c r="A305" s="4">
        <v>33</v>
      </c>
      <c r="B305" t="s">
        <v>48</v>
      </c>
      <c r="C305" t="s">
        <v>49</v>
      </c>
      <c r="D305" s="5" t="s">
        <v>50</v>
      </c>
      <c r="E305" t="s">
        <v>51</v>
      </c>
      <c r="F305" s="6">
        <v>45154</v>
      </c>
      <c r="G305" s="7">
        <v>0.22916666666666699</v>
      </c>
      <c r="H305" t="s">
        <v>49</v>
      </c>
      <c r="I305" s="5">
        <v>94</v>
      </c>
      <c r="J305" t="s">
        <v>110</v>
      </c>
      <c r="K305" s="6">
        <v>45154</v>
      </c>
      <c r="L305" s="23">
        <v>0.41666666666666702</v>
      </c>
      <c r="M305" s="5">
        <v>119861</v>
      </c>
      <c r="N305" s="5" t="s">
        <v>69</v>
      </c>
      <c r="O305" s="8" t="s">
        <v>56</v>
      </c>
      <c r="Q305" t="s">
        <v>428</v>
      </c>
      <c r="R305" s="5" t="s">
        <v>207</v>
      </c>
      <c r="S305" s="9">
        <v>10</v>
      </c>
      <c r="T305" s="9">
        <v>5</v>
      </c>
      <c r="U305" s="9">
        <v>5</v>
      </c>
      <c r="V305" s="10">
        <f>Table1[[#This Row],[MARGIN '[€']]]/Table1[[#This Row],[SALES '[€']]]</f>
        <v>0.5</v>
      </c>
      <c r="W305" s="5">
        <v>9215166647</v>
      </c>
      <c r="X305" s="5" t="s">
        <v>769</v>
      </c>
      <c r="Y305" s="4">
        <v>345</v>
      </c>
      <c r="AA305" t="s">
        <v>89</v>
      </c>
      <c r="AL305" t="s">
        <v>61</v>
      </c>
    </row>
    <row r="306" spans="1:38" x14ac:dyDescent="0.25">
      <c r="A306" s="4">
        <v>33</v>
      </c>
      <c r="B306" t="s">
        <v>48</v>
      </c>
      <c r="C306" t="s">
        <v>49</v>
      </c>
      <c r="D306" s="5" t="s">
        <v>102</v>
      </c>
      <c r="E306" t="s">
        <v>103</v>
      </c>
      <c r="F306" s="6">
        <v>45154</v>
      </c>
      <c r="G306" s="7">
        <v>0.25</v>
      </c>
      <c r="H306" t="s">
        <v>49</v>
      </c>
      <c r="I306" s="5">
        <v>94</v>
      </c>
      <c r="J306" t="s">
        <v>110</v>
      </c>
      <c r="K306" s="6">
        <v>45154</v>
      </c>
      <c r="L306" s="23">
        <v>0.54166666666666696</v>
      </c>
      <c r="M306" s="5">
        <v>119864</v>
      </c>
      <c r="N306" s="5" t="s">
        <v>69</v>
      </c>
      <c r="O306" s="8" t="s">
        <v>56</v>
      </c>
      <c r="Q306" t="s">
        <v>111</v>
      </c>
      <c r="R306" s="5" t="s">
        <v>112</v>
      </c>
      <c r="S306" s="9">
        <v>10</v>
      </c>
      <c r="T306" s="9">
        <v>5</v>
      </c>
      <c r="U306" s="9">
        <v>5</v>
      </c>
      <c r="V306" s="10">
        <f>Table1[[#This Row],[MARGIN '[€']]]/Table1[[#This Row],[SALES '[€']]]</f>
        <v>0.5</v>
      </c>
      <c r="W306" s="5">
        <v>9215166652</v>
      </c>
      <c r="X306" s="5" t="s">
        <v>770</v>
      </c>
      <c r="Y306" s="4">
        <v>345</v>
      </c>
      <c r="AA306" t="s">
        <v>89</v>
      </c>
      <c r="AL306" t="s">
        <v>61</v>
      </c>
    </row>
    <row r="307" spans="1:38" x14ac:dyDescent="0.25">
      <c r="A307" s="4">
        <v>33</v>
      </c>
      <c r="B307" t="s">
        <v>137</v>
      </c>
      <c r="C307" t="s">
        <v>49</v>
      </c>
      <c r="D307" s="5" t="s">
        <v>50</v>
      </c>
      <c r="E307" t="s">
        <v>51</v>
      </c>
      <c r="F307" s="6">
        <v>45154</v>
      </c>
      <c r="G307" s="7">
        <v>0.375</v>
      </c>
      <c r="H307" t="s">
        <v>49</v>
      </c>
      <c r="I307" s="5" t="s">
        <v>102</v>
      </c>
      <c r="J307" t="s">
        <v>103</v>
      </c>
      <c r="K307" s="6">
        <v>45154</v>
      </c>
      <c r="L307" s="23">
        <v>0.45833333333333298</v>
      </c>
      <c r="M307" s="5" t="s">
        <v>771</v>
      </c>
      <c r="N307" s="5" t="s">
        <v>69</v>
      </c>
      <c r="O307" s="8" t="s">
        <v>56</v>
      </c>
      <c r="Q307" t="s">
        <v>772</v>
      </c>
      <c r="R307" s="5" t="s">
        <v>356</v>
      </c>
      <c r="S307" s="9">
        <v>10</v>
      </c>
      <c r="T307" s="9">
        <v>5</v>
      </c>
      <c r="U307" s="9">
        <v>5</v>
      </c>
      <c r="V307" s="10">
        <f>Table1[[#This Row],[MARGIN '[€']]]/Table1[[#This Row],[SALES '[€']]]</f>
        <v>0.5</v>
      </c>
      <c r="W307" s="5">
        <v>9215166677</v>
      </c>
      <c r="X307" s="5" t="s">
        <v>773</v>
      </c>
      <c r="Y307" s="4">
        <v>57</v>
      </c>
      <c r="AA307" t="s">
        <v>89</v>
      </c>
      <c r="AL307" t="s">
        <v>61</v>
      </c>
    </row>
    <row r="308" spans="1:38" x14ac:dyDescent="0.25">
      <c r="A308" s="4">
        <v>33</v>
      </c>
      <c r="B308" t="s">
        <v>137</v>
      </c>
      <c r="C308" t="s">
        <v>49</v>
      </c>
      <c r="D308" s="5" t="s">
        <v>50</v>
      </c>
      <c r="E308" t="s">
        <v>51</v>
      </c>
      <c r="F308" s="6">
        <v>45154</v>
      </c>
      <c r="G308" s="7">
        <v>0.29166666666666702</v>
      </c>
      <c r="H308" t="s">
        <v>49</v>
      </c>
      <c r="I308" s="5" t="s">
        <v>102</v>
      </c>
      <c r="J308" t="s">
        <v>103</v>
      </c>
      <c r="K308" s="6">
        <v>45154</v>
      </c>
      <c r="L308" s="23">
        <v>0.35416666666666702</v>
      </c>
      <c r="M308" s="5" t="s">
        <v>774</v>
      </c>
      <c r="N308" s="5" t="s">
        <v>69</v>
      </c>
      <c r="O308" s="8" t="s">
        <v>56</v>
      </c>
      <c r="Q308" t="s">
        <v>499</v>
      </c>
      <c r="R308" s="5" t="s">
        <v>500</v>
      </c>
      <c r="S308" s="9">
        <v>10</v>
      </c>
      <c r="T308" s="9">
        <v>5</v>
      </c>
      <c r="U308" s="9">
        <v>5</v>
      </c>
      <c r="V308" s="10">
        <f>Table1[[#This Row],[MARGIN '[€']]]/Table1[[#This Row],[SALES '[€']]]</f>
        <v>0.5</v>
      </c>
      <c r="W308" s="5">
        <v>9215166678</v>
      </c>
      <c r="X308" s="5" t="s">
        <v>775</v>
      </c>
      <c r="Y308" s="4">
        <v>57</v>
      </c>
      <c r="AA308" t="s">
        <v>89</v>
      </c>
      <c r="AL308" t="s">
        <v>61</v>
      </c>
    </row>
    <row r="309" spans="1:38" x14ac:dyDescent="0.25">
      <c r="A309" s="4">
        <v>33</v>
      </c>
      <c r="B309" t="s">
        <v>137</v>
      </c>
      <c r="C309" t="s">
        <v>49</v>
      </c>
      <c r="D309" s="5" t="s">
        <v>50</v>
      </c>
      <c r="E309" t="s">
        <v>51</v>
      </c>
      <c r="F309" s="6">
        <v>45154</v>
      </c>
      <c r="G309" s="7">
        <v>0.41666666666666702</v>
      </c>
      <c r="H309" t="s">
        <v>49</v>
      </c>
      <c r="I309" s="5" t="s">
        <v>102</v>
      </c>
      <c r="J309" t="s">
        <v>103</v>
      </c>
      <c r="K309" s="6">
        <v>45154</v>
      </c>
      <c r="L309" s="23">
        <v>0.47916666666666702</v>
      </c>
      <c r="M309" s="5" t="s">
        <v>776</v>
      </c>
      <c r="N309" s="5" t="s">
        <v>69</v>
      </c>
      <c r="O309" s="8" t="s">
        <v>56</v>
      </c>
      <c r="Q309" t="s">
        <v>499</v>
      </c>
      <c r="R309" s="5" t="s">
        <v>500</v>
      </c>
      <c r="S309" s="9">
        <v>10</v>
      </c>
      <c r="T309" s="9">
        <v>5</v>
      </c>
      <c r="U309" s="9">
        <v>5</v>
      </c>
      <c r="V309" s="10">
        <f>Table1[[#This Row],[MARGIN '[€']]]/Table1[[#This Row],[SALES '[€']]]</f>
        <v>0.5</v>
      </c>
      <c r="W309" s="5">
        <v>9215166679</v>
      </c>
      <c r="X309" s="5" t="s">
        <v>775</v>
      </c>
      <c r="Y309" s="4">
        <v>57</v>
      </c>
      <c r="AA309" t="s">
        <v>89</v>
      </c>
      <c r="AL309" t="s">
        <v>61</v>
      </c>
    </row>
    <row r="310" spans="1:38" x14ac:dyDescent="0.25">
      <c r="A310" s="4">
        <v>33</v>
      </c>
      <c r="B310" t="s">
        <v>137</v>
      </c>
      <c r="C310" t="s">
        <v>49</v>
      </c>
      <c r="D310" s="5" t="s">
        <v>50</v>
      </c>
      <c r="E310" t="s">
        <v>51</v>
      </c>
      <c r="F310" s="6">
        <v>45154</v>
      </c>
      <c r="G310" s="7">
        <v>0.55555555555555602</v>
      </c>
      <c r="H310" t="s">
        <v>49</v>
      </c>
      <c r="I310" s="5" t="s">
        <v>102</v>
      </c>
      <c r="J310" t="s">
        <v>103</v>
      </c>
      <c r="K310" s="6">
        <v>45154</v>
      </c>
      <c r="L310" s="23">
        <v>0.625</v>
      </c>
      <c r="M310" s="5" t="s">
        <v>777</v>
      </c>
      <c r="N310" s="5" t="s">
        <v>69</v>
      </c>
      <c r="O310" s="8" t="s">
        <v>56</v>
      </c>
      <c r="Q310" t="s">
        <v>499</v>
      </c>
      <c r="R310" s="5" t="s">
        <v>500</v>
      </c>
      <c r="S310" s="9">
        <v>10</v>
      </c>
      <c r="T310" s="9">
        <v>5</v>
      </c>
      <c r="U310" s="9">
        <v>5</v>
      </c>
      <c r="V310" s="10">
        <f>Table1[[#This Row],[MARGIN '[€']]]/Table1[[#This Row],[SALES '[€']]]</f>
        <v>0.5</v>
      </c>
      <c r="W310" s="5">
        <v>9215166680</v>
      </c>
      <c r="X310" s="5" t="s">
        <v>775</v>
      </c>
      <c r="Y310" s="4">
        <v>57</v>
      </c>
      <c r="AA310" t="s">
        <v>89</v>
      </c>
      <c r="AL310" t="s">
        <v>61</v>
      </c>
    </row>
    <row r="311" spans="1:38" x14ac:dyDescent="0.25">
      <c r="A311" s="4">
        <v>33</v>
      </c>
      <c r="B311" t="s">
        <v>137</v>
      </c>
      <c r="C311" t="s">
        <v>49</v>
      </c>
      <c r="D311" s="5" t="s">
        <v>50</v>
      </c>
      <c r="E311" t="s">
        <v>51</v>
      </c>
      <c r="F311" s="6">
        <v>45154</v>
      </c>
      <c r="G311" s="7">
        <v>0.70833333333333304</v>
      </c>
      <c r="H311" t="s">
        <v>49</v>
      </c>
      <c r="I311" s="5" t="s">
        <v>102</v>
      </c>
      <c r="J311" t="s">
        <v>103</v>
      </c>
      <c r="K311" s="6">
        <v>45154</v>
      </c>
      <c r="L311" s="23">
        <v>0.77083333333333304</v>
      </c>
      <c r="M311" s="5" t="s">
        <v>778</v>
      </c>
      <c r="N311" s="5" t="s">
        <v>69</v>
      </c>
      <c r="O311" s="8" t="s">
        <v>56</v>
      </c>
      <c r="Q311" t="s">
        <v>499</v>
      </c>
      <c r="R311" s="5" t="s">
        <v>500</v>
      </c>
      <c r="S311" s="9">
        <v>10</v>
      </c>
      <c r="T311" s="9">
        <v>5</v>
      </c>
      <c r="U311" s="9">
        <v>5</v>
      </c>
      <c r="V311" s="10">
        <f>Table1[[#This Row],[MARGIN '[€']]]/Table1[[#This Row],[SALES '[€']]]</f>
        <v>0.5</v>
      </c>
      <c r="W311" s="5">
        <v>9215166681</v>
      </c>
      <c r="X311" s="5" t="s">
        <v>775</v>
      </c>
      <c r="Y311" s="4">
        <v>57</v>
      </c>
      <c r="AA311" t="s">
        <v>89</v>
      </c>
      <c r="AL311" t="s">
        <v>61</v>
      </c>
    </row>
    <row r="312" spans="1:38" x14ac:dyDescent="0.25">
      <c r="A312" s="4">
        <v>33</v>
      </c>
      <c r="B312" t="s">
        <v>137</v>
      </c>
      <c r="C312" t="s">
        <v>49</v>
      </c>
      <c r="D312" s="5" t="s">
        <v>50</v>
      </c>
      <c r="E312" t="s">
        <v>51</v>
      </c>
      <c r="F312" s="6">
        <v>45154</v>
      </c>
      <c r="G312" s="7">
        <v>0.45833333333333298</v>
      </c>
      <c r="H312" t="s">
        <v>49</v>
      </c>
      <c r="I312" s="5" t="s">
        <v>102</v>
      </c>
      <c r="J312" t="s">
        <v>103</v>
      </c>
      <c r="K312" s="6">
        <v>45154</v>
      </c>
      <c r="L312" s="23">
        <v>0.52083333333333304</v>
      </c>
      <c r="M312" s="5" t="s">
        <v>779</v>
      </c>
      <c r="N312" s="5" t="s">
        <v>69</v>
      </c>
      <c r="O312" s="8" t="s">
        <v>56</v>
      </c>
      <c r="Q312" t="s">
        <v>200</v>
      </c>
      <c r="R312" s="5" t="s">
        <v>201</v>
      </c>
      <c r="S312" s="9">
        <v>10</v>
      </c>
      <c r="T312" s="9">
        <v>5</v>
      </c>
      <c r="U312" s="9">
        <v>5</v>
      </c>
      <c r="V312" s="10">
        <f>Table1[[#This Row],[MARGIN '[€']]]/Table1[[#This Row],[SALES '[€']]]</f>
        <v>0.5</v>
      </c>
      <c r="W312" s="5">
        <v>9215166682</v>
      </c>
      <c r="X312" s="5" t="s">
        <v>780</v>
      </c>
      <c r="Y312" s="4">
        <v>57</v>
      </c>
      <c r="AA312" t="s">
        <v>89</v>
      </c>
      <c r="AL312" t="s">
        <v>61</v>
      </c>
    </row>
    <row r="313" spans="1:38" x14ac:dyDescent="0.25">
      <c r="A313" s="4">
        <v>33</v>
      </c>
      <c r="B313" t="s">
        <v>137</v>
      </c>
      <c r="C313" t="s">
        <v>49</v>
      </c>
      <c r="D313" s="5" t="s">
        <v>50</v>
      </c>
      <c r="E313" t="s">
        <v>51</v>
      </c>
      <c r="F313" s="6">
        <v>45154</v>
      </c>
      <c r="G313" s="7">
        <v>0.29166666666666702</v>
      </c>
      <c r="H313" t="s">
        <v>49</v>
      </c>
      <c r="I313" s="5" t="s">
        <v>102</v>
      </c>
      <c r="J313" t="s">
        <v>103</v>
      </c>
      <c r="K313" s="6">
        <v>45154</v>
      </c>
      <c r="L313" s="23">
        <v>0.35416666666666702</v>
      </c>
      <c r="M313" s="5" t="s">
        <v>781</v>
      </c>
      <c r="N313" s="5" t="s">
        <v>69</v>
      </c>
      <c r="O313" s="8" t="s">
        <v>56</v>
      </c>
      <c r="Q313" t="s">
        <v>614</v>
      </c>
      <c r="R313" s="5" t="s">
        <v>615</v>
      </c>
      <c r="S313" s="9">
        <v>10</v>
      </c>
      <c r="T313" s="9">
        <v>5</v>
      </c>
      <c r="U313" s="9">
        <v>5</v>
      </c>
      <c r="V313" s="10">
        <f>Table1[[#This Row],[MARGIN '[€']]]/Table1[[#This Row],[SALES '[€']]]</f>
        <v>0.5</v>
      </c>
      <c r="W313" s="5">
        <v>9215166683</v>
      </c>
      <c r="X313" s="5" t="s">
        <v>782</v>
      </c>
      <c r="Y313" s="4">
        <v>57</v>
      </c>
      <c r="AA313" t="s">
        <v>89</v>
      </c>
      <c r="AL313" t="s">
        <v>61</v>
      </c>
    </row>
    <row r="314" spans="1:38" x14ac:dyDescent="0.25">
      <c r="A314" s="4">
        <v>33</v>
      </c>
      <c r="B314" t="s">
        <v>137</v>
      </c>
      <c r="C314" t="s">
        <v>49</v>
      </c>
      <c r="D314" s="5" t="s">
        <v>50</v>
      </c>
      <c r="E314" t="s">
        <v>51</v>
      </c>
      <c r="F314" s="6">
        <v>45154</v>
      </c>
      <c r="G314" s="7">
        <v>0.43055555555555602</v>
      </c>
      <c r="H314" t="s">
        <v>49</v>
      </c>
      <c r="I314" s="5" t="s">
        <v>102</v>
      </c>
      <c r="J314" t="s">
        <v>103</v>
      </c>
      <c r="K314" s="6">
        <v>45154</v>
      </c>
      <c r="L314" s="23">
        <v>0.625</v>
      </c>
      <c r="M314" s="5" t="s">
        <v>783</v>
      </c>
      <c r="N314" s="5" t="s">
        <v>69</v>
      </c>
      <c r="O314" s="8" t="s">
        <v>56</v>
      </c>
      <c r="Q314" t="s">
        <v>614</v>
      </c>
      <c r="R314" s="5" t="s">
        <v>615</v>
      </c>
      <c r="S314" s="9">
        <v>10</v>
      </c>
      <c r="T314" s="9">
        <v>5</v>
      </c>
      <c r="U314" s="9">
        <v>5</v>
      </c>
      <c r="V314" s="10">
        <f>Table1[[#This Row],[MARGIN '[€']]]/Table1[[#This Row],[SALES '[€']]]</f>
        <v>0.5</v>
      </c>
      <c r="W314" s="5">
        <v>9215166684</v>
      </c>
      <c r="X314" s="5" t="s">
        <v>782</v>
      </c>
      <c r="Y314" s="4">
        <v>57</v>
      </c>
      <c r="AA314" t="s">
        <v>89</v>
      </c>
      <c r="AL314" t="s">
        <v>61</v>
      </c>
    </row>
    <row r="315" spans="1:38" x14ac:dyDescent="0.25">
      <c r="A315" s="4">
        <v>33</v>
      </c>
      <c r="B315" t="s">
        <v>137</v>
      </c>
      <c r="C315" t="s">
        <v>49</v>
      </c>
      <c r="D315" s="5" t="s">
        <v>50</v>
      </c>
      <c r="E315" t="s">
        <v>51</v>
      </c>
      <c r="F315" s="6">
        <v>45154</v>
      </c>
      <c r="G315" s="7">
        <v>0.54166666666666696</v>
      </c>
      <c r="H315" t="s">
        <v>49</v>
      </c>
      <c r="I315" s="5" t="s">
        <v>50</v>
      </c>
      <c r="J315" t="s">
        <v>51</v>
      </c>
      <c r="K315" s="6">
        <v>45155</v>
      </c>
      <c r="L315" s="23">
        <v>0.58333333333333304</v>
      </c>
      <c r="M315" s="5" t="s">
        <v>784</v>
      </c>
      <c r="N315" s="5" t="s">
        <v>785</v>
      </c>
      <c r="O315" s="8" t="s">
        <v>56</v>
      </c>
      <c r="Q315" t="s">
        <v>786</v>
      </c>
      <c r="R315" s="5" t="s">
        <v>787</v>
      </c>
      <c r="S315" s="9">
        <v>10</v>
      </c>
      <c r="T315" s="9">
        <v>5</v>
      </c>
      <c r="U315" s="9">
        <v>5</v>
      </c>
      <c r="V315" s="10">
        <f>Table1[[#This Row],[MARGIN '[€']]]/Table1[[#This Row],[SALES '[€']]]</f>
        <v>0.5</v>
      </c>
      <c r="W315" s="5">
        <v>9215166806</v>
      </c>
      <c r="X315" s="5" t="s">
        <v>788</v>
      </c>
      <c r="AL315" t="s">
        <v>61</v>
      </c>
    </row>
    <row r="316" spans="1:38" x14ac:dyDescent="0.25">
      <c r="A316" s="4">
        <v>33</v>
      </c>
      <c r="B316" t="s">
        <v>137</v>
      </c>
      <c r="C316" t="s">
        <v>49</v>
      </c>
      <c r="D316" s="5" t="s">
        <v>50</v>
      </c>
      <c r="E316" t="s">
        <v>51</v>
      </c>
      <c r="F316" s="6">
        <v>45154</v>
      </c>
      <c r="G316" s="7">
        <v>0.625</v>
      </c>
      <c r="H316" t="s">
        <v>49</v>
      </c>
      <c r="I316" s="5" t="s">
        <v>50</v>
      </c>
      <c r="J316" t="s">
        <v>51</v>
      </c>
      <c r="K316" s="6">
        <v>45155</v>
      </c>
      <c r="L316" s="23">
        <v>0.625</v>
      </c>
      <c r="M316" s="5" t="s">
        <v>784</v>
      </c>
      <c r="N316" s="5" t="s">
        <v>785</v>
      </c>
      <c r="O316" s="8" t="s">
        <v>56</v>
      </c>
      <c r="Q316" t="s">
        <v>789</v>
      </c>
      <c r="R316" s="5" t="s">
        <v>787</v>
      </c>
      <c r="S316" s="9">
        <v>10</v>
      </c>
      <c r="T316" s="9">
        <v>5</v>
      </c>
      <c r="U316" s="9">
        <v>5</v>
      </c>
      <c r="V316" s="10">
        <f>Table1[[#This Row],[MARGIN '[€']]]/Table1[[#This Row],[SALES '[€']]]</f>
        <v>0.5</v>
      </c>
      <c r="W316" s="5">
        <v>9215166807</v>
      </c>
      <c r="X316" s="5" t="s">
        <v>790</v>
      </c>
      <c r="AL316" t="s">
        <v>61</v>
      </c>
    </row>
    <row r="317" spans="1:38" x14ac:dyDescent="0.25">
      <c r="A317" s="4">
        <v>33</v>
      </c>
      <c r="B317" t="s">
        <v>137</v>
      </c>
      <c r="C317" t="s">
        <v>49</v>
      </c>
      <c r="D317" s="5" t="s">
        <v>50</v>
      </c>
      <c r="E317" t="s">
        <v>51</v>
      </c>
      <c r="F317" s="6">
        <v>45154</v>
      </c>
      <c r="G317" s="7">
        <v>0.75</v>
      </c>
      <c r="H317" t="s">
        <v>49</v>
      </c>
      <c r="I317" s="5" t="s">
        <v>50</v>
      </c>
      <c r="J317" t="s">
        <v>51</v>
      </c>
      <c r="K317" s="6">
        <v>45155</v>
      </c>
      <c r="L317" s="23">
        <v>0.75</v>
      </c>
      <c r="M317" s="5" t="s">
        <v>784</v>
      </c>
      <c r="N317" s="5" t="s">
        <v>785</v>
      </c>
      <c r="O317" s="8" t="s">
        <v>56</v>
      </c>
      <c r="Q317" t="s">
        <v>791</v>
      </c>
      <c r="R317" s="5" t="s">
        <v>94</v>
      </c>
      <c r="S317" s="9">
        <v>10</v>
      </c>
      <c r="T317" s="9">
        <v>5</v>
      </c>
      <c r="U317" s="9">
        <v>5</v>
      </c>
      <c r="V317" s="10">
        <f>Table1[[#This Row],[MARGIN '[€']]]/Table1[[#This Row],[SALES '[€']]]</f>
        <v>0.5</v>
      </c>
      <c r="W317" s="5">
        <v>9215166809</v>
      </c>
      <c r="X317" s="5" t="s">
        <v>792</v>
      </c>
      <c r="AL317" t="s">
        <v>61</v>
      </c>
    </row>
    <row r="318" spans="1:38" x14ac:dyDescent="0.25">
      <c r="A318" s="4">
        <v>33</v>
      </c>
      <c r="B318" t="s">
        <v>137</v>
      </c>
      <c r="C318" t="s">
        <v>49</v>
      </c>
      <c r="D318" s="5" t="s">
        <v>50</v>
      </c>
      <c r="E318" t="s">
        <v>51</v>
      </c>
      <c r="F318" s="6">
        <v>45154</v>
      </c>
      <c r="G318" s="7">
        <v>0.75</v>
      </c>
      <c r="H318" t="s">
        <v>49</v>
      </c>
      <c r="I318" s="5" t="s">
        <v>50</v>
      </c>
      <c r="J318" t="s">
        <v>51</v>
      </c>
      <c r="K318" s="6">
        <v>45155</v>
      </c>
      <c r="L318" s="23">
        <v>0.75</v>
      </c>
      <c r="M318" s="5" t="s">
        <v>784</v>
      </c>
      <c r="N318" s="5" t="s">
        <v>785</v>
      </c>
      <c r="O318" s="8" t="s">
        <v>56</v>
      </c>
      <c r="Q318" t="s">
        <v>793</v>
      </c>
      <c r="R318" s="5" t="s">
        <v>94</v>
      </c>
      <c r="S318" s="9">
        <v>10</v>
      </c>
      <c r="T318" s="9">
        <v>5</v>
      </c>
      <c r="U318" s="9">
        <v>5</v>
      </c>
      <c r="V318" s="10">
        <f>Table1[[#This Row],[MARGIN '[€']]]/Table1[[#This Row],[SALES '[€']]]</f>
        <v>0.5</v>
      </c>
      <c r="W318" s="5">
        <v>9215166810</v>
      </c>
      <c r="X318" s="5" t="s">
        <v>794</v>
      </c>
      <c r="AL318" t="s">
        <v>61</v>
      </c>
    </row>
    <row r="319" spans="1:38" x14ac:dyDescent="0.25">
      <c r="A319" s="4">
        <v>33</v>
      </c>
      <c r="B319" t="s">
        <v>137</v>
      </c>
      <c r="C319" t="s">
        <v>49</v>
      </c>
      <c r="D319" s="5" t="s">
        <v>50</v>
      </c>
      <c r="E319" t="s">
        <v>51</v>
      </c>
      <c r="F319" s="6">
        <v>45154</v>
      </c>
      <c r="G319" s="7">
        <v>0.75</v>
      </c>
      <c r="H319" t="s">
        <v>49</v>
      </c>
      <c r="I319" s="5" t="s">
        <v>50</v>
      </c>
      <c r="J319" t="s">
        <v>51</v>
      </c>
      <c r="K319" s="6">
        <v>45155</v>
      </c>
      <c r="L319" s="23">
        <v>0.75</v>
      </c>
      <c r="M319" s="5" t="s">
        <v>784</v>
      </c>
      <c r="N319" s="5" t="s">
        <v>785</v>
      </c>
      <c r="O319" s="8" t="s">
        <v>56</v>
      </c>
      <c r="Q319" t="s">
        <v>795</v>
      </c>
      <c r="R319" s="5" t="s">
        <v>94</v>
      </c>
      <c r="S319" s="9">
        <v>10</v>
      </c>
      <c r="T319" s="9">
        <v>5</v>
      </c>
      <c r="U319" s="9">
        <v>5</v>
      </c>
      <c r="V319" s="10">
        <f>Table1[[#This Row],[MARGIN '[€']]]/Table1[[#This Row],[SALES '[€']]]</f>
        <v>0.5</v>
      </c>
      <c r="W319" s="5">
        <v>9215166811</v>
      </c>
      <c r="X319" s="5" t="s">
        <v>796</v>
      </c>
      <c r="AL319" t="s">
        <v>61</v>
      </c>
    </row>
    <row r="320" spans="1:38" x14ac:dyDescent="0.25">
      <c r="A320" s="4">
        <v>33</v>
      </c>
      <c r="B320" t="s">
        <v>797</v>
      </c>
      <c r="C320" t="s">
        <v>153</v>
      </c>
      <c r="D320" s="5" t="s">
        <v>798</v>
      </c>
      <c r="E320" t="s">
        <v>799</v>
      </c>
      <c r="F320" s="6">
        <v>45155</v>
      </c>
      <c r="G320" s="7">
        <v>0.5</v>
      </c>
      <c r="H320" t="s">
        <v>49</v>
      </c>
      <c r="I320" s="5" t="s">
        <v>156</v>
      </c>
      <c r="J320" t="s">
        <v>285</v>
      </c>
      <c r="K320" s="6">
        <v>45159</v>
      </c>
      <c r="L320" s="23">
        <v>0.5</v>
      </c>
      <c r="M320" s="5" t="s">
        <v>800</v>
      </c>
      <c r="N320" s="5" t="s">
        <v>142</v>
      </c>
      <c r="O320" s="8" t="s">
        <v>159</v>
      </c>
      <c r="P320">
        <v>800</v>
      </c>
      <c r="Q320" t="s">
        <v>801</v>
      </c>
      <c r="R320" s="5" t="s">
        <v>161</v>
      </c>
      <c r="S320" s="9">
        <v>10</v>
      </c>
      <c r="T320" s="9">
        <v>5</v>
      </c>
      <c r="U320" s="9">
        <v>5</v>
      </c>
      <c r="V320" s="10">
        <f>Table1[[#This Row],[MARGIN '[€']]]/Table1[[#This Row],[SALES '[€']]]</f>
        <v>0.5</v>
      </c>
      <c r="W320" s="5">
        <v>9215166654</v>
      </c>
      <c r="X320" s="5" t="s">
        <v>802</v>
      </c>
      <c r="Y320" s="4">
        <v>1820</v>
      </c>
      <c r="AA320" t="s">
        <v>60</v>
      </c>
      <c r="AD320">
        <v>8</v>
      </c>
      <c r="AE320" s="3">
        <v>44960</v>
      </c>
      <c r="AL320" t="s">
        <v>61</v>
      </c>
    </row>
    <row r="321" spans="1:38" x14ac:dyDescent="0.25">
      <c r="A321" s="4">
        <v>33</v>
      </c>
      <c r="B321" t="s">
        <v>333</v>
      </c>
      <c r="C321" t="s">
        <v>49</v>
      </c>
      <c r="D321" s="5" t="s">
        <v>334</v>
      </c>
      <c r="E321" t="s">
        <v>335</v>
      </c>
      <c r="F321" s="6">
        <v>45155</v>
      </c>
      <c r="G321" s="7">
        <v>0.79166666666666696</v>
      </c>
      <c r="H321" t="s">
        <v>138</v>
      </c>
      <c r="I321" s="5">
        <v>77</v>
      </c>
      <c r="J321" t="s">
        <v>392</v>
      </c>
      <c r="K321" s="6">
        <v>45160</v>
      </c>
      <c r="L321" s="23">
        <v>0.29166666666666702</v>
      </c>
      <c r="M321" s="5">
        <v>1002927860</v>
      </c>
      <c r="N321" s="5" t="s">
        <v>337</v>
      </c>
      <c r="O321" s="8" t="s">
        <v>338</v>
      </c>
      <c r="P321" t="s">
        <v>339</v>
      </c>
      <c r="Q321" t="s">
        <v>803</v>
      </c>
      <c r="R321" s="5" t="s">
        <v>573</v>
      </c>
      <c r="S321" s="9">
        <v>10</v>
      </c>
      <c r="T321" s="9">
        <v>5</v>
      </c>
      <c r="U321" s="9">
        <v>5</v>
      </c>
      <c r="V321" s="10">
        <f>Table1[[#This Row],[MARGIN '[€']]]/Table1[[#This Row],[SALES '[€']]]</f>
        <v>0.5</v>
      </c>
      <c r="W321" s="5" t="s">
        <v>804</v>
      </c>
      <c r="X321" s="5" t="s">
        <v>805</v>
      </c>
      <c r="Y321" s="4">
        <v>1571</v>
      </c>
      <c r="Z321" t="s">
        <v>339</v>
      </c>
      <c r="AA321" t="s">
        <v>342</v>
      </c>
      <c r="AL321" t="s">
        <v>61</v>
      </c>
    </row>
    <row r="322" spans="1:38" x14ac:dyDescent="0.25">
      <c r="A322" s="4">
        <v>33</v>
      </c>
      <c r="B322" t="s">
        <v>333</v>
      </c>
      <c r="C322" t="s">
        <v>49</v>
      </c>
      <c r="D322" s="5" t="s">
        <v>334</v>
      </c>
      <c r="E322" t="s">
        <v>335</v>
      </c>
      <c r="F322" s="6">
        <v>45155</v>
      </c>
      <c r="G322" s="7">
        <v>0.79166666666666696</v>
      </c>
      <c r="H322" t="s">
        <v>138</v>
      </c>
      <c r="I322" s="5">
        <v>38</v>
      </c>
      <c r="J322" t="s">
        <v>576</v>
      </c>
      <c r="K322" s="6">
        <v>45160</v>
      </c>
      <c r="L322" s="23">
        <v>0.375</v>
      </c>
      <c r="M322" s="5">
        <v>1002928542</v>
      </c>
      <c r="N322" s="5" t="s">
        <v>337</v>
      </c>
      <c r="O322" s="8" t="s">
        <v>338</v>
      </c>
      <c r="P322" t="s">
        <v>339</v>
      </c>
      <c r="Q322" t="s">
        <v>806</v>
      </c>
      <c r="R322" s="5" t="s">
        <v>145</v>
      </c>
      <c r="S322" s="9">
        <v>10</v>
      </c>
      <c r="T322" s="9">
        <v>5</v>
      </c>
      <c r="U322" s="9">
        <v>5</v>
      </c>
      <c r="V322" s="10">
        <f>Table1[[#This Row],[MARGIN '[€']]]/Table1[[#This Row],[SALES '[€']]]</f>
        <v>0.5</v>
      </c>
      <c r="W322" s="5" t="s">
        <v>807</v>
      </c>
      <c r="X322" s="5" t="s">
        <v>808</v>
      </c>
      <c r="Y322" s="4">
        <v>1637</v>
      </c>
      <c r="Z322" t="s">
        <v>339</v>
      </c>
      <c r="AA322" t="s">
        <v>342</v>
      </c>
      <c r="AL322" t="s">
        <v>61</v>
      </c>
    </row>
    <row r="323" spans="1:38" x14ac:dyDescent="0.25">
      <c r="A323" s="4">
        <v>33</v>
      </c>
      <c r="B323" t="s">
        <v>234</v>
      </c>
      <c r="C323" t="s">
        <v>49</v>
      </c>
      <c r="D323" s="5" t="s">
        <v>50</v>
      </c>
      <c r="E323" t="s">
        <v>235</v>
      </c>
      <c r="F323" s="6">
        <v>45155</v>
      </c>
      <c r="G323" s="7">
        <v>0.91666666666666696</v>
      </c>
      <c r="H323" t="s">
        <v>216</v>
      </c>
      <c r="I323" s="5" t="s">
        <v>236</v>
      </c>
      <c r="J323" t="s">
        <v>237</v>
      </c>
      <c r="K323" s="6">
        <v>45156</v>
      </c>
      <c r="L323" s="23">
        <v>0.75</v>
      </c>
      <c r="N323" s="5" t="s">
        <v>142</v>
      </c>
      <c r="O323" s="8" t="s">
        <v>450</v>
      </c>
      <c r="Q323" t="s">
        <v>676</v>
      </c>
      <c r="R323" s="5" t="s">
        <v>452</v>
      </c>
      <c r="S323" s="9">
        <v>10</v>
      </c>
      <c r="T323" s="9">
        <v>5</v>
      </c>
      <c r="U323" s="9">
        <v>5</v>
      </c>
      <c r="V323" s="10">
        <f>Table1[[#This Row],[MARGIN '[€']]]/Table1[[#This Row],[SALES '[€']]]</f>
        <v>0.5</v>
      </c>
      <c r="W323" s="5" t="s">
        <v>809</v>
      </c>
      <c r="X323" s="5" t="s">
        <v>810</v>
      </c>
      <c r="Y323" s="4">
        <v>656</v>
      </c>
      <c r="AA323" t="s">
        <v>163</v>
      </c>
      <c r="AL323" t="s">
        <v>61</v>
      </c>
    </row>
    <row r="324" spans="1:38" x14ac:dyDescent="0.25">
      <c r="A324" s="4">
        <v>33</v>
      </c>
      <c r="B324" t="s">
        <v>48</v>
      </c>
      <c r="C324" t="s">
        <v>49</v>
      </c>
      <c r="D324" s="5" t="s">
        <v>50</v>
      </c>
      <c r="E324" t="s">
        <v>51</v>
      </c>
      <c r="F324" s="6">
        <v>45155</v>
      </c>
      <c r="G324" s="7">
        <v>0.75</v>
      </c>
      <c r="H324" t="s">
        <v>66</v>
      </c>
      <c r="I324" s="5" t="s">
        <v>67</v>
      </c>
      <c r="J324" t="s">
        <v>68</v>
      </c>
      <c r="K324" s="6">
        <v>45157</v>
      </c>
      <c r="L324" s="23">
        <v>8.3333333333333301E-2</v>
      </c>
      <c r="M324" s="5">
        <v>119042</v>
      </c>
      <c r="N324" s="5" t="s">
        <v>69</v>
      </c>
      <c r="O324" s="8" t="s">
        <v>56</v>
      </c>
      <c r="P324" t="s">
        <v>76</v>
      </c>
      <c r="Q324" t="s">
        <v>811</v>
      </c>
      <c r="R324" s="5" t="s">
        <v>71</v>
      </c>
      <c r="S324" s="9">
        <v>10</v>
      </c>
      <c r="T324" s="9">
        <v>5</v>
      </c>
      <c r="U324" s="9">
        <v>5</v>
      </c>
      <c r="V324" s="10">
        <f>Table1[[#This Row],[MARGIN '[€']]]/Table1[[#This Row],[SALES '[€']]]</f>
        <v>0.5</v>
      </c>
      <c r="W324" s="5" t="s">
        <v>812</v>
      </c>
      <c r="X324" s="5" t="s">
        <v>813</v>
      </c>
      <c r="Y324" s="4">
        <v>316</v>
      </c>
      <c r="Z324" t="s">
        <v>814</v>
      </c>
      <c r="AA324" t="s">
        <v>60</v>
      </c>
      <c r="AL324" t="s">
        <v>61</v>
      </c>
    </row>
    <row r="325" spans="1:38" x14ac:dyDescent="0.25">
      <c r="A325" s="4">
        <v>33</v>
      </c>
      <c r="B325" t="s">
        <v>48</v>
      </c>
      <c r="C325" t="s">
        <v>49</v>
      </c>
      <c r="D325" s="5" t="s">
        <v>50</v>
      </c>
      <c r="E325" t="s">
        <v>51</v>
      </c>
      <c r="F325" s="6">
        <v>45155</v>
      </c>
      <c r="G325" s="7">
        <v>0.22916666666666699</v>
      </c>
      <c r="H325" t="s">
        <v>90</v>
      </c>
      <c r="I325" s="5">
        <v>24</v>
      </c>
      <c r="J325" t="s">
        <v>92</v>
      </c>
      <c r="K325" s="6">
        <v>45155</v>
      </c>
      <c r="L325" s="23">
        <v>0.52083333333333304</v>
      </c>
      <c r="M325" s="5">
        <v>119756</v>
      </c>
      <c r="N325" s="5" t="s">
        <v>69</v>
      </c>
      <c r="O325" s="8" t="s">
        <v>56</v>
      </c>
      <c r="Q325" t="s">
        <v>114</v>
      </c>
      <c r="R325" s="5" t="s">
        <v>94</v>
      </c>
      <c r="S325" s="9">
        <v>10</v>
      </c>
      <c r="T325" s="9">
        <v>5</v>
      </c>
      <c r="U325" s="9">
        <v>5</v>
      </c>
      <c r="V325" s="10">
        <f>Table1[[#This Row],[MARGIN '[€']]]/Table1[[#This Row],[SALES '[€']]]</f>
        <v>0.5</v>
      </c>
      <c r="W325" s="5">
        <v>9215166687</v>
      </c>
      <c r="X325" s="5" t="s">
        <v>815</v>
      </c>
      <c r="Y325" s="4">
        <v>441</v>
      </c>
      <c r="Z325" t="s">
        <v>816</v>
      </c>
      <c r="AA325" t="s">
        <v>60</v>
      </c>
      <c r="AL325" t="s">
        <v>61</v>
      </c>
    </row>
    <row r="326" spans="1:38" x14ac:dyDescent="0.25">
      <c r="A326" s="4">
        <v>33</v>
      </c>
      <c r="B326" t="s">
        <v>48</v>
      </c>
      <c r="C326" t="s">
        <v>49</v>
      </c>
      <c r="D326" s="5" t="s">
        <v>50</v>
      </c>
      <c r="E326" t="s">
        <v>51</v>
      </c>
      <c r="F326" s="6">
        <v>45155</v>
      </c>
      <c r="G326" s="7">
        <v>0.875</v>
      </c>
      <c r="H326" t="s">
        <v>90</v>
      </c>
      <c r="I326" s="5">
        <v>24</v>
      </c>
      <c r="J326" t="s">
        <v>92</v>
      </c>
      <c r="K326" s="6">
        <v>45156</v>
      </c>
      <c r="L326" s="23">
        <v>0.24652777777777801</v>
      </c>
      <c r="M326" s="5">
        <v>119762</v>
      </c>
      <c r="N326" s="5" t="s">
        <v>69</v>
      </c>
      <c r="O326" s="8" t="s">
        <v>56</v>
      </c>
      <c r="Q326" t="s">
        <v>522</v>
      </c>
      <c r="R326" s="5" t="s">
        <v>98</v>
      </c>
      <c r="S326" s="9">
        <v>10</v>
      </c>
      <c r="T326" s="9">
        <v>5</v>
      </c>
      <c r="U326" s="9">
        <v>5</v>
      </c>
      <c r="V326" s="10">
        <f>Table1[[#This Row],[MARGIN '[€']]]/Table1[[#This Row],[SALES '[€']]]</f>
        <v>0.5</v>
      </c>
      <c r="W326" s="5">
        <v>9215166701</v>
      </c>
      <c r="X326" s="5" t="s">
        <v>817</v>
      </c>
      <c r="Y326" s="4">
        <v>441</v>
      </c>
      <c r="Z326" t="s">
        <v>818</v>
      </c>
      <c r="AA326" t="s">
        <v>60</v>
      </c>
      <c r="AL326" t="s">
        <v>61</v>
      </c>
    </row>
    <row r="327" spans="1:38" x14ac:dyDescent="0.25">
      <c r="A327" s="4">
        <v>33</v>
      </c>
      <c r="B327" t="s">
        <v>48</v>
      </c>
      <c r="C327" t="s">
        <v>49</v>
      </c>
      <c r="D327" s="5" t="s">
        <v>50</v>
      </c>
      <c r="E327" t="s">
        <v>51</v>
      </c>
      <c r="F327" s="6">
        <v>45155</v>
      </c>
      <c r="G327" s="7">
        <v>0.38888888888888901</v>
      </c>
      <c r="H327" t="s">
        <v>90</v>
      </c>
      <c r="I327" s="5">
        <v>24</v>
      </c>
      <c r="J327" t="s">
        <v>92</v>
      </c>
      <c r="K327" s="6">
        <v>45156</v>
      </c>
      <c r="L327" s="3">
        <v>0.30902777777777801</v>
      </c>
      <c r="M327" s="5">
        <v>119763</v>
      </c>
      <c r="N327" s="5" t="s">
        <v>69</v>
      </c>
      <c r="O327" s="8" t="s">
        <v>56</v>
      </c>
      <c r="Q327" t="s">
        <v>679</v>
      </c>
      <c r="R327" s="5" t="s">
        <v>94</v>
      </c>
      <c r="S327" s="9">
        <v>10</v>
      </c>
      <c r="T327" s="9">
        <v>5</v>
      </c>
      <c r="U327" s="9">
        <v>5</v>
      </c>
      <c r="V327" s="10">
        <f>Table1[[#This Row],[MARGIN '[€']]]/Table1[[#This Row],[SALES '[€']]]</f>
        <v>0.5</v>
      </c>
      <c r="W327" s="5">
        <v>9215166702</v>
      </c>
      <c r="X327" s="5" t="s">
        <v>819</v>
      </c>
      <c r="Y327" s="4">
        <v>441</v>
      </c>
      <c r="Z327" t="s">
        <v>820</v>
      </c>
      <c r="AA327" t="s">
        <v>60</v>
      </c>
      <c r="AL327" t="s">
        <v>61</v>
      </c>
    </row>
    <row r="328" spans="1:38" x14ac:dyDescent="0.25">
      <c r="A328" s="4">
        <v>33</v>
      </c>
      <c r="B328" t="s">
        <v>48</v>
      </c>
      <c r="C328" t="s">
        <v>49</v>
      </c>
      <c r="D328" s="5" t="s">
        <v>50</v>
      </c>
      <c r="E328" t="s">
        <v>51</v>
      </c>
      <c r="F328" s="6">
        <v>45155</v>
      </c>
      <c r="G328" s="7">
        <v>0.63888888888888895</v>
      </c>
      <c r="H328" t="s">
        <v>90</v>
      </c>
      <c r="I328" s="5">
        <v>24</v>
      </c>
      <c r="J328" t="s">
        <v>92</v>
      </c>
      <c r="K328" s="6">
        <v>45156</v>
      </c>
      <c r="L328" s="3">
        <v>0.41666666666666702</v>
      </c>
      <c r="M328" s="5">
        <v>119765</v>
      </c>
      <c r="N328" s="5" t="s">
        <v>69</v>
      </c>
      <c r="O328" s="8" t="s">
        <v>56</v>
      </c>
      <c r="Q328" t="s">
        <v>188</v>
      </c>
      <c r="R328" s="5" t="s">
        <v>94</v>
      </c>
      <c r="S328" s="9">
        <v>10</v>
      </c>
      <c r="T328" s="9">
        <v>5</v>
      </c>
      <c r="U328" s="9">
        <v>5</v>
      </c>
      <c r="V328" s="10">
        <f>Table1[[#This Row],[MARGIN '[€']]]/Table1[[#This Row],[SALES '[€']]]</f>
        <v>0.5</v>
      </c>
      <c r="W328" s="5">
        <v>9215166703</v>
      </c>
      <c r="X328" s="5" t="s">
        <v>821</v>
      </c>
      <c r="Y328" s="4">
        <v>441</v>
      </c>
      <c r="Z328" t="s">
        <v>822</v>
      </c>
      <c r="AA328" t="s">
        <v>60</v>
      </c>
      <c r="AL328" t="s">
        <v>61</v>
      </c>
    </row>
    <row r="329" spans="1:38" x14ac:dyDescent="0.25">
      <c r="A329" s="4">
        <v>33</v>
      </c>
      <c r="B329" t="s">
        <v>48</v>
      </c>
      <c r="C329" t="s">
        <v>49</v>
      </c>
      <c r="D329" s="5" t="s">
        <v>50</v>
      </c>
      <c r="E329" t="s">
        <v>51</v>
      </c>
      <c r="F329" s="6">
        <v>45155</v>
      </c>
      <c r="G329" s="7">
        <v>0.16666666666666699</v>
      </c>
      <c r="H329" t="s">
        <v>52</v>
      </c>
      <c r="I329" s="5">
        <v>35</v>
      </c>
      <c r="J329" t="s">
        <v>54</v>
      </c>
      <c r="K329" s="6">
        <v>45155</v>
      </c>
      <c r="L329" s="23">
        <v>0.75</v>
      </c>
      <c r="M329" s="5">
        <v>119803</v>
      </c>
      <c r="N329" s="5" t="s">
        <v>55</v>
      </c>
      <c r="O329" s="8" t="s">
        <v>56</v>
      </c>
      <c r="Q329" t="s">
        <v>62</v>
      </c>
      <c r="R329" s="5" t="s">
        <v>58</v>
      </c>
      <c r="S329" s="9">
        <v>10</v>
      </c>
      <c r="T329" s="9">
        <v>5</v>
      </c>
      <c r="U329" s="9">
        <v>5</v>
      </c>
      <c r="V329" s="10">
        <f>Table1[[#This Row],[MARGIN '[€']]]/Table1[[#This Row],[SALES '[€']]]</f>
        <v>0.5</v>
      </c>
      <c r="W329" s="5">
        <v>9215166704</v>
      </c>
      <c r="X329" s="5" t="s">
        <v>823</v>
      </c>
      <c r="Y329" s="4">
        <v>82</v>
      </c>
      <c r="AA329" t="s">
        <v>60</v>
      </c>
      <c r="AL329" t="s">
        <v>61</v>
      </c>
    </row>
    <row r="330" spans="1:38" x14ac:dyDescent="0.25">
      <c r="A330" s="4">
        <v>33</v>
      </c>
      <c r="B330" t="s">
        <v>48</v>
      </c>
      <c r="C330" t="s">
        <v>49</v>
      </c>
      <c r="D330" s="5" t="s">
        <v>50</v>
      </c>
      <c r="E330" t="s">
        <v>51</v>
      </c>
      <c r="F330" s="6">
        <v>45155</v>
      </c>
      <c r="G330" s="7">
        <v>0.1875</v>
      </c>
      <c r="H330" t="s">
        <v>52</v>
      </c>
      <c r="I330" s="5">
        <v>35</v>
      </c>
      <c r="J330" t="s">
        <v>54</v>
      </c>
      <c r="K330" s="6">
        <v>45155</v>
      </c>
      <c r="L330" s="23">
        <v>0.75</v>
      </c>
      <c r="M330" s="5">
        <v>119804</v>
      </c>
      <c r="N330" s="5" t="s">
        <v>55</v>
      </c>
      <c r="O330" s="8" t="s">
        <v>56</v>
      </c>
      <c r="Q330" t="s">
        <v>57</v>
      </c>
      <c r="R330" s="5" t="s">
        <v>58</v>
      </c>
      <c r="S330" s="9">
        <v>10</v>
      </c>
      <c r="T330" s="9">
        <v>5</v>
      </c>
      <c r="U330" s="9">
        <v>5</v>
      </c>
      <c r="V330" s="10">
        <f>Table1[[#This Row],[MARGIN '[€']]]/Table1[[#This Row],[SALES '[€']]]</f>
        <v>0.5</v>
      </c>
      <c r="W330" s="5">
        <v>9215166707</v>
      </c>
      <c r="X330" s="5" t="s">
        <v>824</v>
      </c>
      <c r="Y330" s="4">
        <v>82</v>
      </c>
      <c r="AA330" t="s">
        <v>60</v>
      </c>
      <c r="AL330" t="s">
        <v>61</v>
      </c>
    </row>
    <row r="331" spans="1:38" x14ac:dyDescent="0.25">
      <c r="A331" s="4">
        <v>33</v>
      </c>
      <c r="B331" t="s">
        <v>48</v>
      </c>
      <c r="C331" t="s">
        <v>49</v>
      </c>
      <c r="D331" s="5" t="s">
        <v>50</v>
      </c>
      <c r="E331" t="s">
        <v>51</v>
      </c>
      <c r="F331" s="6">
        <v>45155</v>
      </c>
      <c r="G331" s="7">
        <v>0.20833333333333301</v>
      </c>
      <c r="H331" t="s">
        <v>52</v>
      </c>
      <c r="I331" s="5">
        <v>35</v>
      </c>
      <c r="J331" t="s">
        <v>54</v>
      </c>
      <c r="K331" s="6">
        <v>45155</v>
      </c>
      <c r="L331" s="23">
        <v>0.75</v>
      </c>
      <c r="M331" s="5">
        <v>119805</v>
      </c>
      <c r="N331" s="5" t="s">
        <v>55</v>
      </c>
      <c r="O331" s="8" t="s">
        <v>56</v>
      </c>
      <c r="Q331" t="s">
        <v>64</v>
      </c>
      <c r="R331" s="5" t="s">
        <v>58</v>
      </c>
      <c r="S331" s="9">
        <v>10</v>
      </c>
      <c r="T331" s="9">
        <v>5</v>
      </c>
      <c r="U331" s="9">
        <v>5</v>
      </c>
      <c r="V331" s="10">
        <f>Table1[[#This Row],[MARGIN '[€']]]/Table1[[#This Row],[SALES '[€']]]</f>
        <v>0.5</v>
      </c>
      <c r="W331" s="5">
        <v>9215166710</v>
      </c>
      <c r="X331" s="5" t="s">
        <v>825</v>
      </c>
      <c r="Y331" s="4">
        <v>82</v>
      </c>
      <c r="AA331" t="s">
        <v>60</v>
      </c>
      <c r="AL331" t="s">
        <v>61</v>
      </c>
    </row>
    <row r="332" spans="1:38" x14ac:dyDescent="0.25">
      <c r="A332" s="4">
        <v>33</v>
      </c>
      <c r="B332" t="s">
        <v>48</v>
      </c>
      <c r="C332" t="s">
        <v>49</v>
      </c>
      <c r="D332" s="5" t="s">
        <v>50</v>
      </c>
      <c r="E332" t="s">
        <v>51</v>
      </c>
      <c r="F332" s="6">
        <v>45155</v>
      </c>
      <c r="G332" s="7">
        <v>0.33333333333333298</v>
      </c>
      <c r="H332" t="s">
        <v>52</v>
      </c>
      <c r="I332" s="5">
        <v>35</v>
      </c>
      <c r="J332" t="s">
        <v>54</v>
      </c>
      <c r="K332" s="6">
        <v>45155</v>
      </c>
      <c r="L332" s="23">
        <v>0.75</v>
      </c>
      <c r="M332" s="5">
        <v>119806</v>
      </c>
      <c r="N332" s="5" t="s">
        <v>55</v>
      </c>
      <c r="O332" s="8" t="s">
        <v>56</v>
      </c>
      <c r="Q332" t="s">
        <v>62</v>
      </c>
      <c r="R332" s="5" t="s">
        <v>58</v>
      </c>
      <c r="S332" s="9">
        <v>10</v>
      </c>
      <c r="T332" s="9">
        <v>5</v>
      </c>
      <c r="U332" s="9">
        <v>5</v>
      </c>
      <c r="V332" s="10">
        <f>Table1[[#This Row],[MARGIN '[€']]]/Table1[[#This Row],[SALES '[€']]]</f>
        <v>0.5</v>
      </c>
      <c r="W332" s="5">
        <v>9215166705</v>
      </c>
      <c r="X332" s="5" t="s">
        <v>823</v>
      </c>
      <c r="Y332" s="4">
        <v>82</v>
      </c>
      <c r="AA332" t="s">
        <v>60</v>
      </c>
      <c r="AL332" t="s">
        <v>61</v>
      </c>
    </row>
    <row r="333" spans="1:38" x14ac:dyDescent="0.25">
      <c r="A333" s="4">
        <v>33</v>
      </c>
      <c r="B333" t="s">
        <v>48</v>
      </c>
      <c r="C333" t="s">
        <v>49</v>
      </c>
      <c r="D333" s="5" t="s">
        <v>50</v>
      </c>
      <c r="E333" t="s">
        <v>51</v>
      </c>
      <c r="F333" s="6">
        <v>45155</v>
      </c>
      <c r="G333" s="7">
        <v>0.34722222222222199</v>
      </c>
      <c r="H333" t="s">
        <v>52</v>
      </c>
      <c r="I333" s="5">
        <v>35</v>
      </c>
      <c r="J333" t="s">
        <v>54</v>
      </c>
      <c r="K333" s="6">
        <v>45155</v>
      </c>
      <c r="L333" s="23">
        <v>0.75</v>
      </c>
      <c r="M333" s="5">
        <v>119807</v>
      </c>
      <c r="N333" s="5" t="s">
        <v>55</v>
      </c>
      <c r="O333" s="8" t="s">
        <v>56</v>
      </c>
      <c r="Q333" t="s">
        <v>57</v>
      </c>
      <c r="R333" s="5" t="s">
        <v>58</v>
      </c>
      <c r="S333" s="9">
        <v>10</v>
      </c>
      <c r="T333" s="9">
        <v>5</v>
      </c>
      <c r="U333" s="9">
        <v>5</v>
      </c>
      <c r="V333" s="10">
        <f>Table1[[#This Row],[MARGIN '[€']]]/Table1[[#This Row],[SALES '[€']]]</f>
        <v>0.5</v>
      </c>
      <c r="W333" s="5">
        <v>9215166708</v>
      </c>
      <c r="X333" s="5" t="s">
        <v>824</v>
      </c>
      <c r="Y333" s="4">
        <v>82</v>
      </c>
      <c r="AA333" t="s">
        <v>60</v>
      </c>
      <c r="AL333" t="s">
        <v>61</v>
      </c>
    </row>
    <row r="334" spans="1:38" x14ac:dyDescent="0.25">
      <c r="A334" s="4">
        <v>33</v>
      </c>
      <c r="B334" t="s">
        <v>48</v>
      </c>
      <c r="C334" t="s">
        <v>49</v>
      </c>
      <c r="D334" s="5" t="s">
        <v>50</v>
      </c>
      <c r="E334" t="s">
        <v>51</v>
      </c>
      <c r="F334" s="6">
        <v>45155</v>
      </c>
      <c r="G334" s="7">
        <v>0.36111111111111099</v>
      </c>
      <c r="H334" t="s">
        <v>52</v>
      </c>
      <c r="I334" s="5">
        <v>35</v>
      </c>
      <c r="J334" t="s">
        <v>54</v>
      </c>
      <c r="K334" s="6">
        <v>45155</v>
      </c>
      <c r="L334" s="23">
        <v>0.75</v>
      </c>
      <c r="M334" s="5">
        <v>119808</v>
      </c>
      <c r="N334" s="5" t="s">
        <v>55</v>
      </c>
      <c r="O334" s="8" t="s">
        <v>56</v>
      </c>
      <c r="Q334" t="s">
        <v>64</v>
      </c>
      <c r="R334" s="5" t="s">
        <v>58</v>
      </c>
      <c r="S334" s="9">
        <v>10</v>
      </c>
      <c r="T334" s="9">
        <v>5</v>
      </c>
      <c r="U334" s="9">
        <v>5</v>
      </c>
      <c r="V334" s="10">
        <f>Table1[[#This Row],[MARGIN '[€']]]/Table1[[#This Row],[SALES '[€']]]</f>
        <v>0.5</v>
      </c>
      <c r="W334" s="5">
        <v>9215166712</v>
      </c>
      <c r="X334" s="5" t="s">
        <v>825</v>
      </c>
      <c r="Y334" s="4">
        <v>82</v>
      </c>
      <c r="AA334" t="s">
        <v>60</v>
      </c>
      <c r="AL334" t="s">
        <v>61</v>
      </c>
    </row>
    <row r="335" spans="1:38" x14ac:dyDescent="0.25">
      <c r="A335" s="4">
        <v>33</v>
      </c>
      <c r="B335" t="s">
        <v>48</v>
      </c>
      <c r="C335" t="s">
        <v>49</v>
      </c>
      <c r="D335" s="5" t="s">
        <v>50</v>
      </c>
      <c r="E335" t="s">
        <v>51</v>
      </c>
      <c r="F335" s="6">
        <v>45155</v>
      </c>
      <c r="G335" s="7">
        <v>0.47222222222222199</v>
      </c>
      <c r="H335" t="s">
        <v>52</v>
      </c>
      <c r="I335" s="5">
        <v>35</v>
      </c>
      <c r="J335" t="s">
        <v>54</v>
      </c>
      <c r="K335" s="6">
        <v>45155</v>
      </c>
      <c r="L335" s="23">
        <v>0.75</v>
      </c>
      <c r="M335" s="5">
        <v>119809</v>
      </c>
      <c r="N335" s="5" t="s">
        <v>55</v>
      </c>
      <c r="O335" s="8" t="s">
        <v>56</v>
      </c>
      <c r="Q335" t="s">
        <v>62</v>
      </c>
      <c r="R335" s="5" t="s">
        <v>58</v>
      </c>
      <c r="S335" s="9">
        <v>10</v>
      </c>
      <c r="T335" s="9">
        <v>5</v>
      </c>
      <c r="U335" s="9">
        <v>5</v>
      </c>
      <c r="V335" s="10">
        <f>Table1[[#This Row],[MARGIN '[€']]]/Table1[[#This Row],[SALES '[€']]]</f>
        <v>0.5</v>
      </c>
      <c r="W335" s="5">
        <v>9215166706</v>
      </c>
      <c r="X335" s="5" t="s">
        <v>823</v>
      </c>
      <c r="Y335" s="4">
        <v>82</v>
      </c>
      <c r="AA335" t="s">
        <v>60</v>
      </c>
      <c r="AL335" t="s">
        <v>61</v>
      </c>
    </row>
    <row r="336" spans="1:38" x14ac:dyDescent="0.25">
      <c r="A336" s="4">
        <v>33</v>
      </c>
      <c r="B336" t="s">
        <v>48</v>
      </c>
      <c r="C336" t="s">
        <v>49</v>
      </c>
      <c r="D336" s="5" t="s">
        <v>50</v>
      </c>
      <c r="E336" t="s">
        <v>51</v>
      </c>
      <c r="F336" s="6">
        <v>45155</v>
      </c>
      <c r="G336" s="7">
        <v>0.48611111111111099</v>
      </c>
      <c r="H336" t="s">
        <v>52</v>
      </c>
      <c r="I336" s="5">
        <v>35</v>
      </c>
      <c r="J336" t="s">
        <v>54</v>
      </c>
      <c r="K336" s="6">
        <v>45155</v>
      </c>
      <c r="L336" s="23">
        <v>0.75</v>
      </c>
      <c r="M336" s="5">
        <v>119810</v>
      </c>
      <c r="N336" s="5" t="s">
        <v>55</v>
      </c>
      <c r="O336" s="8" t="s">
        <v>56</v>
      </c>
      <c r="Q336" t="s">
        <v>57</v>
      </c>
      <c r="R336" s="5" t="s">
        <v>58</v>
      </c>
      <c r="S336" s="9">
        <v>10</v>
      </c>
      <c r="T336" s="9">
        <v>5</v>
      </c>
      <c r="U336" s="9">
        <v>5</v>
      </c>
      <c r="V336" s="10">
        <f>Table1[[#This Row],[MARGIN '[€']]]/Table1[[#This Row],[SALES '[€']]]</f>
        <v>0.5</v>
      </c>
      <c r="W336" s="5">
        <v>9215166709</v>
      </c>
      <c r="X336" s="5" t="s">
        <v>824</v>
      </c>
      <c r="Y336" s="4">
        <v>82</v>
      </c>
      <c r="AA336" t="s">
        <v>60</v>
      </c>
      <c r="AL336" t="s">
        <v>61</v>
      </c>
    </row>
    <row r="337" spans="1:38" x14ac:dyDescent="0.25">
      <c r="A337" s="4">
        <v>33</v>
      </c>
      <c r="B337" t="s">
        <v>48</v>
      </c>
      <c r="C337" t="s">
        <v>49</v>
      </c>
      <c r="D337" s="5" t="s">
        <v>50</v>
      </c>
      <c r="E337" t="s">
        <v>51</v>
      </c>
      <c r="F337" s="6">
        <v>45155</v>
      </c>
      <c r="G337" s="7">
        <v>0.5</v>
      </c>
      <c r="H337" t="s">
        <v>52</v>
      </c>
      <c r="I337" s="5">
        <v>35</v>
      </c>
      <c r="J337" t="s">
        <v>54</v>
      </c>
      <c r="K337" s="6">
        <v>45155</v>
      </c>
      <c r="L337" s="23">
        <v>0.75</v>
      </c>
      <c r="M337" s="5">
        <v>119811</v>
      </c>
      <c r="N337" s="5" t="s">
        <v>55</v>
      </c>
      <c r="O337" s="8" t="s">
        <v>56</v>
      </c>
      <c r="Q337" t="s">
        <v>64</v>
      </c>
      <c r="R337" s="5" t="s">
        <v>58</v>
      </c>
      <c r="S337" s="9">
        <v>10</v>
      </c>
      <c r="T337" s="9">
        <v>5</v>
      </c>
      <c r="U337" s="9">
        <v>5</v>
      </c>
      <c r="V337" s="10">
        <f>Table1[[#This Row],[MARGIN '[€']]]/Table1[[#This Row],[SALES '[€']]]</f>
        <v>0.5</v>
      </c>
      <c r="W337" s="5">
        <v>9215166713</v>
      </c>
      <c r="X337" s="5" t="s">
        <v>825</v>
      </c>
      <c r="Y337" s="4">
        <v>82</v>
      </c>
      <c r="AA337" t="s">
        <v>60</v>
      </c>
      <c r="AL337" t="s">
        <v>61</v>
      </c>
    </row>
    <row r="338" spans="1:38" x14ac:dyDescent="0.25">
      <c r="A338" s="4">
        <v>33</v>
      </c>
      <c r="B338" t="s">
        <v>48</v>
      </c>
      <c r="C338" t="s">
        <v>49</v>
      </c>
      <c r="D338" s="5" t="s">
        <v>50</v>
      </c>
      <c r="E338" t="s">
        <v>51</v>
      </c>
      <c r="F338" s="6">
        <v>45155</v>
      </c>
      <c r="G338" s="7">
        <v>0.72222222222222199</v>
      </c>
      <c r="H338" t="s">
        <v>52</v>
      </c>
      <c r="I338" s="5">
        <v>23</v>
      </c>
      <c r="J338" t="s">
        <v>85</v>
      </c>
      <c r="K338" s="6">
        <v>45156</v>
      </c>
      <c r="L338" s="23">
        <v>0.33333333333333298</v>
      </c>
      <c r="M338" s="5">
        <v>119850</v>
      </c>
      <c r="N338" s="5" t="s">
        <v>826</v>
      </c>
      <c r="O338" s="8" t="s">
        <v>56</v>
      </c>
      <c r="P338" t="s">
        <v>76</v>
      </c>
      <c r="Q338" t="s">
        <v>827</v>
      </c>
      <c r="R338" s="5" t="s">
        <v>58</v>
      </c>
      <c r="S338" s="9">
        <v>10</v>
      </c>
      <c r="T338" s="9">
        <v>5</v>
      </c>
      <c r="U338" s="9">
        <v>5</v>
      </c>
      <c r="V338" s="10">
        <f>Table1[[#This Row],[MARGIN '[€']]]/Table1[[#This Row],[SALES '[€']]]</f>
        <v>0.5</v>
      </c>
      <c r="W338" s="5" t="s">
        <v>828</v>
      </c>
      <c r="X338" s="5" t="s">
        <v>829</v>
      </c>
      <c r="Y338" s="4">
        <v>261</v>
      </c>
      <c r="AA338" t="s">
        <v>89</v>
      </c>
      <c r="AL338" t="s">
        <v>61</v>
      </c>
    </row>
    <row r="339" spans="1:38" x14ac:dyDescent="0.25">
      <c r="A339" s="4">
        <v>33</v>
      </c>
      <c r="B339" t="s">
        <v>48</v>
      </c>
      <c r="C339" t="s">
        <v>49</v>
      </c>
      <c r="D339" s="5" t="s">
        <v>50</v>
      </c>
      <c r="E339" t="s">
        <v>51</v>
      </c>
      <c r="F339" s="6">
        <v>45155</v>
      </c>
      <c r="G339" s="7">
        <v>0.66666666666666696</v>
      </c>
      <c r="H339" t="s">
        <v>52</v>
      </c>
      <c r="I339" s="5">
        <v>23</v>
      </c>
      <c r="J339" t="s">
        <v>85</v>
      </c>
      <c r="K339" s="6">
        <v>45156</v>
      </c>
      <c r="L339" s="23">
        <v>0.41666666666666702</v>
      </c>
      <c r="M339" s="5">
        <v>119851</v>
      </c>
      <c r="N339" s="5" t="s">
        <v>69</v>
      </c>
      <c r="O339" s="8" t="s">
        <v>56</v>
      </c>
      <c r="Q339" t="s">
        <v>830</v>
      </c>
      <c r="R339" s="5" t="s">
        <v>831</v>
      </c>
      <c r="S339" s="9">
        <v>10</v>
      </c>
      <c r="T339" s="9">
        <v>5</v>
      </c>
      <c r="U339" s="9">
        <v>5</v>
      </c>
      <c r="V339" s="10">
        <f>Table1[[#This Row],[MARGIN '[€']]]/Table1[[#This Row],[SALES '[€']]]</f>
        <v>0.5</v>
      </c>
      <c r="W339" s="5">
        <v>9215166726</v>
      </c>
      <c r="X339" s="5" t="s">
        <v>832</v>
      </c>
      <c r="Y339" s="4">
        <v>261</v>
      </c>
      <c r="AA339" t="s">
        <v>89</v>
      </c>
      <c r="AL339" t="s">
        <v>61</v>
      </c>
    </row>
    <row r="340" spans="1:38" x14ac:dyDescent="0.25">
      <c r="A340" s="4">
        <v>33</v>
      </c>
      <c r="B340" t="s">
        <v>48</v>
      </c>
      <c r="C340" t="s">
        <v>66</v>
      </c>
      <c r="D340" s="5" t="s">
        <v>334</v>
      </c>
      <c r="E340" t="s">
        <v>833</v>
      </c>
      <c r="F340" s="6">
        <v>45155</v>
      </c>
      <c r="G340" s="7">
        <v>0.41666666666666702</v>
      </c>
      <c r="H340" t="s">
        <v>66</v>
      </c>
      <c r="I340" s="5" t="s">
        <v>67</v>
      </c>
      <c r="J340" t="s">
        <v>68</v>
      </c>
      <c r="K340" s="6">
        <v>45156</v>
      </c>
      <c r="L340" s="23">
        <v>0.25</v>
      </c>
      <c r="M340" s="5">
        <v>119876</v>
      </c>
      <c r="N340" s="5" t="s">
        <v>785</v>
      </c>
      <c r="O340" s="8" t="s">
        <v>56</v>
      </c>
      <c r="Q340" t="s">
        <v>834</v>
      </c>
      <c r="R340" s="5" t="s">
        <v>835</v>
      </c>
      <c r="S340" s="9">
        <v>10</v>
      </c>
      <c r="T340" s="9">
        <v>5</v>
      </c>
      <c r="U340" s="9">
        <v>5</v>
      </c>
      <c r="V340" s="10">
        <f>Table1[[#This Row],[MARGIN '[€']]]/Table1[[#This Row],[SALES '[€']]]</f>
        <v>0.5</v>
      </c>
      <c r="W340" s="5">
        <v>9215166714</v>
      </c>
      <c r="X340" s="5" t="s">
        <v>836</v>
      </c>
      <c r="Y340" s="4">
        <v>322</v>
      </c>
      <c r="AA340" t="s">
        <v>89</v>
      </c>
      <c r="AL340" t="s">
        <v>61</v>
      </c>
    </row>
    <row r="341" spans="1:38" x14ac:dyDescent="0.25">
      <c r="A341" s="4">
        <v>33</v>
      </c>
      <c r="B341" t="s">
        <v>137</v>
      </c>
      <c r="C341" t="s">
        <v>49</v>
      </c>
      <c r="D341" s="5" t="s">
        <v>50</v>
      </c>
      <c r="E341" t="s">
        <v>51</v>
      </c>
      <c r="F341" s="6">
        <v>45155</v>
      </c>
      <c r="G341" s="7">
        <v>0.30555555555555503</v>
      </c>
      <c r="H341" t="s">
        <v>49</v>
      </c>
      <c r="I341" s="5" t="s">
        <v>102</v>
      </c>
      <c r="J341" t="s">
        <v>103</v>
      </c>
      <c r="K341" s="6">
        <v>45155</v>
      </c>
      <c r="L341" s="23">
        <v>0.35416666666666702</v>
      </c>
      <c r="M341" s="5" t="s">
        <v>837</v>
      </c>
      <c r="N341" s="5" t="s">
        <v>69</v>
      </c>
      <c r="O341" s="8" t="s">
        <v>56</v>
      </c>
      <c r="Q341" t="s">
        <v>499</v>
      </c>
      <c r="R341" s="5" t="s">
        <v>500</v>
      </c>
      <c r="S341" s="9">
        <v>10</v>
      </c>
      <c r="T341" s="9">
        <v>5</v>
      </c>
      <c r="U341" s="9">
        <v>5</v>
      </c>
      <c r="V341" s="10">
        <f>Table1[[#This Row],[MARGIN '[€']]]/Table1[[#This Row],[SALES '[€']]]</f>
        <v>0.5</v>
      </c>
      <c r="W341" s="5">
        <v>9215166715</v>
      </c>
      <c r="X341" s="5" t="s">
        <v>838</v>
      </c>
      <c r="Y341" s="4">
        <v>57</v>
      </c>
      <c r="AA341" t="s">
        <v>89</v>
      </c>
      <c r="AL341" t="s">
        <v>61</v>
      </c>
    </row>
    <row r="342" spans="1:38" x14ac:dyDescent="0.25">
      <c r="A342" s="4">
        <v>33</v>
      </c>
      <c r="B342" t="s">
        <v>137</v>
      </c>
      <c r="C342" t="s">
        <v>49</v>
      </c>
      <c r="D342" s="5" t="s">
        <v>50</v>
      </c>
      <c r="E342" t="s">
        <v>51</v>
      </c>
      <c r="F342" s="6">
        <v>45155</v>
      </c>
      <c r="G342" s="7">
        <v>0.44444444444444398</v>
      </c>
      <c r="H342" t="s">
        <v>49</v>
      </c>
      <c r="I342" s="5" t="s">
        <v>102</v>
      </c>
      <c r="J342" t="s">
        <v>103</v>
      </c>
      <c r="K342" s="6">
        <v>45155</v>
      </c>
      <c r="L342" s="23">
        <v>0.51388888888888895</v>
      </c>
      <c r="M342" s="5" t="s">
        <v>839</v>
      </c>
      <c r="N342" s="5" t="s">
        <v>69</v>
      </c>
      <c r="O342" s="8" t="s">
        <v>56</v>
      </c>
      <c r="Q342" t="s">
        <v>499</v>
      </c>
      <c r="R342" s="5" t="s">
        <v>500</v>
      </c>
      <c r="S342" s="9">
        <v>10</v>
      </c>
      <c r="T342" s="9">
        <v>5</v>
      </c>
      <c r="U342" s="9">
        <v>5</v>
      </c>
      <c r="V342" s="10">
        <f>Table1[[#This Row],[MARGIN '[€']]]/Table1[[#This Row],[SALES '[€']]]</f>
        <v>0.5</v>
      </c>
      <c r="W342" s="5">
        <v>9215166716</v>
      </c>
      <c r="X342" s="5" t="s">
        <v>838</v>
      </c>
      <c r="Y342" s="4">
        <v>57</v>
      </c>
      <c r="AA342" t="s">
        <v>89</v>
      </c>
      <c r="AL342" t="s">
        <v>61</v>
      </c>
    </row>
    <row r="343" spans="1:38" x14ac:dyDescent="0.25">
      <c r="A343" s="4">
        <v>33</v>
      </c>
      <c r="B343" t="s">
        <v>137</v>
      </c>
      <c r="C343" t="s">
        <v>49</v>
      </c>
      <c r="D343" s="5" t="s">
        <v>50</v>
      </c>
      <c r="E343" t="s">
        <v>51</v>
      </c>
      <c r="F343" s="6">
        <v>45155</v>
      </c>
      <c r="G343" s="7">
        <v>0.69444444444444398</v>
      </c>
      <c r="H343" t="s">
        <v>49</v>
      </c>
      <c r="I343" s="5" t="s">
        <v>102</v>
      </c>
      <c r="J343" t="s">
        <v>103</v>
      </c>
      <c r="K343" s="6">
        <v>45155</v>
      </c>
      <c r="L343" s="23">
        <v>0.6875</v>
      </c>
      <c r="M343" s="5" t="s">
        <v>840</v>
      </c>
      <c r="N343" s="5" t="s">
        <v>69</v>
      </c>
      <c r="O343" s="8" t="s">
        <v>56</v>
      </c>
      <c r="Q343" t="s">
        <v>499</v>
      </c>
      <c r="R343" s="5" t="s">
        <v>500</v>
      </c>
      <c r="S343" s="9">
        <v>10</v>
      </c>
      <c r="T343" s="9">
        <v>5</v>
      </c>
      <c r="U343" s="9">
        <v>5</v>
      </c>
      <c r="V343" s="10">
        <f>Table1[[#This Row],[MARGIN '[€']]]/Table1[[#This Row],[SALES '[€']]]</f>
        <v>0.5</v>
      </c>
      <c r="W343" s="5">
        <v>9215166717</v>
      </c>
      <c r="X343" s="5" t="s">
        <v>838</v>
      </c>
      <c r="Y343" s="4">
        <v>57</v>
      </c>
      <c r="AA343" t="s">
        <v>89</v>
      </c>
      <c r="AL343" t="s">
        <v>61</v>
      </c>
    </row>
    <row r="344" spans="1:38" x14ac:dyDescent="0.25">
      <c r="A344" s="4">
        <v>33</v>
      </c>
      <c r="B344" t="s">
        <v>137</v>
      </c>
      <c r="C344" t="s">
        <v>49</v>
      </c>
      <c r="D344" s="5" t="s">
        <v>50</v>
      </c>
      <c r="E344" t="s">
        <v>51</v>
      </c>
      <c r="F344" s="6">
        <v>45155</v>
      </c>
      <c r="G344" s="7">
        <v>0.79166666666666696</v>
      </c>
      <c r="H344" t="s">
        <v>49</v>
      </c>
      <c r="I344" s="5" t="s">
        <v>102</v>
      </c>
      <c r="J344" t="s">
        <v>103</v>
      </c>
      <c r="K344" s="6">
        <v>45155</v>
      </c>
      <c r="L344" s="23">
        <v>0.8125</v>
      </c>
      <c r="M344" s="5" t="s">
        <v>841</v>
      </c>
      <c r="N344" s="5" t="s">
        <v>69</v>
      </c>
      <c r="O344" s="8" t="s">
        <v>56</v>
      </c>
      <c r="Q344" t="s">
        <v>499</v>
      </c>
      <c r="R344" s="5" t="s">
        <v>500</v>
      </c>
      <c r="S344" s="9">
        <v>10</v>
      </c>
      <c r="T344" s="9">
        <v>5</v>
      </c>
      <c r="U344" s="9">
        <v>5</v>
      </c>
      <c r="V344" s="10">
        <f>Table1[[#This Row],[MARGIN '[€']]]/Table1[[#This Row],[SALES '[€']]]</f>
        <v>0.5</v>
      </c>
      <c r="W344" s="5">
        <v>9215166718</v>
      </c>
      <c r="X344" s="5" t="s">
        <v>838</v>
      </c>
      <c r="Y344" s="4">
        <v>57</v>
      </c>
      <c r="Z344" t="s">
        <v>842</v>
      </c>
      <c r="AA344" t="s">
        <v>89</v>
      </c>
      <c r="AL344" t="s">
        <v>61</v>
      </c>
    </row>
    <row r="345" spans="1:38" x14ac:dyDescent="0.25">
      <c r="A345" s="4">
        <v>33</v>
      </c>
      <c r="B345" t="s">
        <v>137</v>
      </c>
      <c r="C345" t="s">
        <v>49</v>
      </c>
      <c r="D345" s="5" t="s">
        <v>50</v>
      </c>
      <c r="E345" t="s">
        <v>51</v>
      </c>
      <c r="F345" s="6">
        <v>45155</v>
      </c>
      <c r="G345" s="7">
        <v>0.27777777777777801</v>
      </c>
      <c r="H345" t="s">
        <v>49</v>
      </c>
      <c r="I345" s="5" t="s">
        <v>102</v>
      </c>
      <c r="J345" t="s">
        <v>103</v>
      </c>
      <c r="K345" s="6">
        <v>45155</v>
      </c>
      <c r="L345" s="23">
        <v>0.375</v>
      </c>
      <c r="M345" s="5" t="s">
        <v>843</v>
      </c>
      <c r="N345" s="5" t="s">
        <v>69</v>
      </c>
      <c r="O345" s="8" t="s">
        <v>56</v>
      </c>
      <c r="Q345" t="s">
        <v>316</v>
      </c>
      <c r="R345" s="5" t="s">
        <v>317</v>
      </c>
      <c r="S345" s="9">
        <v>10</v>
      </c>
      <c r="T345" s="9">
        <v>5</v>
      </c>
      <c r="U345" s="9">
        <v>5</v>
      </c>
      <c r="V345" s="10">
        <f>Table1[[#This Row],[MARGIN '[€']]]/Table1[[#This Row],[SALES '[€']]]</f>
        <v>0.5</v>
      </c>
      <c r="W345" s="5">
        <v>9215166720</v>
      </c>
      <c r="X345" s="5" t="s">
        <v>844</v>
      </c>
      <c r="Y345" s="4">
        <v>57</v>
      </c>
      <c r="AA345" t="s">
        <v>89</v>
      </c>
      <c r="AL345" t="s">
        <v>61</v>
      </c>
    </row>
    <row r="346" spans="1:38" x14ac:dyDescent="0.25">
      <c r="A346" s="4">
        <v>33</v>
      </c>
      <c r="B346" t="s">
        <v>137</v>
      </c>
      <c r="C346" t="s">
        <v>49</v>
      </c>
      <c r="D346" s="5" t="s">
        <v>50</v>
      </c>
      <c r="E346" t="s">
        <v>51</v>
      </c>
      <c r="F346" s="6">
        <v>45155</v>
      </c>
      <c r="G346" s="7">
        <v>0.45833333333333298</v>
      </c>
      <c r="H346" t="s">
        <v>49</v>
      </c>
      <c r="I346" s="5" t="s">
        <v>102</v>
      </c>
      <c r="J346" t="s">
        <v>103</v>
      </c>
      <c r="K346" s="6">
        <v>45155</v>
      </c>
      <c r="L346" s="23">
        <v>0.52083333333333304</v>
      </c>
      <c r="M346" s="5" t="s">
        <v>845</v>
      </c>
      <c r="N346" s="5" t="s">
        <v>69</v>
      </c>
      <c r="O346" s="8" t="s">
        <v>56</v>
      </c>
      <c r="Q346" t="s">
        <v>316</v>
      </c>
      <c r="R346" s="5" t="s">
        <v>317</v>
      </c>
      <c r="S346" s="9">
        <v>10</v>
      </c>
      <c r="T346" s="9">
        <v>5</v>
      </c>
      <c r="U346" s="9">
        <v>5</v>
      </c>
      <c r="V346" s="10">
        <f>Table1[[#This Row],[MARGIN '[€']]]/Table1[[#This Row],[SALES '[€']]]</f>
        <v>0.5</v>
      </c>
      <c r="W346" s="5">
        <v>9215166721</v>
      </c>
      <c r="X346" s="5" t="s">
        <v>844</v>
      </c>
      <c r="Y346" s="4">
        <v>57</v>
      </c>
      <c r="AA346" t="s">
        <v>89</v>
      </c>
      <c r="AL346" t="s">
        <v>61</v>
      </c>
    </row>
    <row r="347" spans="1:38" x14ac:dyDescent="0.25">
      <c r="A347" s="4">
        <v>33</v>
      </c>
      <c r="B347" t="s">
        <v>137</v>
      </c>
      <c r="C347" t="s">
        <v>49</v>
      </c>
      <c r="D347" s="5" t="s">
        <v>50</v>
      </c>
      <c r="E347" t="s">
        <v>51</v>
      </c>
      <c r="F347" s="6">
        <v>45155</v>
      </c>
      <c r="G347" s="7">
        <v>0.60416666666666696</v>
      </c>
      <c r="H347" t="s">
        <v>49</v>
      </c>
      <c r="I347" s="5" t="s">
        <v>102</v>
      </c>
      <c r="J347" t="s">
        <v>103</v>
      </c>
      <c r="K347" s="6">
        <v>45155</v>
      </c>
      <c r="L347" s="23">
        <v>0.70833333333333304</v>
      </c>
      <c r="M347" s="5" t="s">
        <v>846</v>
      </c>
      <c r="N347" s="5" t="s">
        <v>69</v>
      </c>
      <c r="O347" s="8" t="s">
        <v>56</v>
      </c>
      <c r="Q347" t="s">
        <v>316</v>
      </c>
      <c r="R347" s="5" t="s">
        <v>317</v>
      </c>
      <c r="S347" s="9">
        <v>10</v>
      </c>
      <c r="T347" s="9">
        <v>5</v>
      </c>
      <c r="U347" s="9">
        <v>5</v>
      </c>
      <c r="V347" s="10">
        <f>Table1[[#This Row],[MARGIN '[€']]]/Table1[[#This Row],[SALES '[€']]]</f>
        <v>0.5</v>
      </c>
      <c r="W347" s="5">
        <v>9215166722</v>
      </c>
      <c r="X347" s="5" t="s">
        <v>844</v>
      </c>
      <c r="Y347" s="4">
        <v>57</v>
      </c>
      <c r="AA347" t="s">
        <v>89</v>
      </c>
      <c r="AL347" t="s">
        <v>61</v>
      </c>
    </row>
    <row r="348" spans="1:38" x14ac:dyDescent="0.25">
      <c r="A348" s="4">
        <v>33</v>
      </c>
      <c r="B348" t="s">
        <v>137</v>
      </c>
      <c r="C348" t="s">
        <v>49</v>
      </c>
      <c r="D348" s="5" t="s">
        <v>50</v>
      </c>
      <c r="E348" t="s">
        <v>51</v>
      </c>
      <c r="F348" s="6">
        <v>45155</v>
      </c>
      <c r="G348" s="7">
        <v>0.68055555555555503</v>
      </c>
      <c r="H348" t="s">
        <v>49</v>
      </c>
      <c r="I348" s="5" t="s">
        <v>102</v>
      </c>
      <c r="J348" t="s">
        <v>103</v>
      </c>
      <c r="K348" s="6">
        <v>45155</v>
      </c>
      <c r="L348" s="3">
        <v>0.75</v>
      </c>
      <c r="M348" s="5" t="s">
        <v>847</v>
      </c>
      <c r="N348" s="5" t="s">
        <v>69</v>
      </c>
      <c r="O348" s="8" t="s">
        <v>56</v>
      </c>
      <c r="Q348" t="s">
        <v>440</v>
      </c>
      <c r="R348" s="5" t="s">
        <v>312</v>
      </c>
      <c r="S348" s="9">
        <v>10</v>
      </c>
      <c r="T348" s="9">
        <v>5</v>
      </c>
      <c r="U348" s="9">
        <v>5</v>
      </c>
      <c r="V348" s="10">
        <f>Table1[[#This Row],[MARGIN '[€']]]/Table1[[#This Row],[SALES '[€']]]</f>
        <v>0.5</v>
      </c>
      <c r="W348" s="5">
        <v>9215166746</v>
      </c>
      <c r="X348" s="5" t="s">
        <v>848</v>
      </c>
      <c r="Y348" s="4">
        <v>57</v>
      </c>
      <c r="AA348" t="s">
        <v>89</v>
      </c>
      <c r="AL348" t="s">
        <v>61</v>
      </c>
    </row>
    <row r="349" spans="1:38" x14ac:dyDescent="0.25">
      <c r="A349" s="4">
        <v>33</v>
      </c>
      <c r="B349" t="s">
        <v>137</v>
      </c>
      <c r="C349" t="s">
        <v>49</v>
      </c>
      <c r="D349" s="5" t="s">
        <v>50</v>
      </c>
      <c r="E349" t="s">
        <v>51</v>
      </c>
      <c r="F349" s="6">
        <v>45155</v>
      </c>
      <c r="G349" s="7">
        <v>0.79166666666666696</v>
      </c>
      <c r="H349" t="s">
        <v>49</v>
      </c>
      <c r="I349" s="5" t="s">
        <v>102</v>
      </c>
      <c r="J349" t="s">
        <v>103</v>
      </c>
      <c r="K349" s="6">
        <v>45155</v>
      </c>
      <c r="L349" s="23">
        <v>0.85416666666666696</v>
      </c>
      <c r="M349" s="5" t="s">
        <v>849</v>
      </c>
      <c r="N349" s="5" t="s">
        <v>69</v>
      </c>
      <c r="O349" s="8" t="s">
        <v>56</v>
      </c>
      <c r="Q349" t="s">
        <v>440</v>
      </c>
      <c r="R349" s="5" t="s">
        <v>312</v>
      </c>
      <c r="S349" s="9">
        <v>10</v>
      </c>
      <c r="T349" s="9">
        <v>5</v>
      </c>
      <c r="U349" s="9">
        <v>5</v>
      </c>
      <c r="V349" s="10">
        <f>Table1[[#This Row],[MARGIN '[€']]]/Table1[[#This Row],[SALES '[€']]]</f>
        <v>0.5</v>
      </c>
      <c r="W349" s="5">
        <v>9215166747</v>
      </c>
      <c r="X349" s="5" t="s">
        <v>848</v>
      </c>
      <c r="Y349" s="4">
        <v>57</v>
      </c>
      <c r="AA349" t="s">
        <v>89</v>
      </c>
      <c r="AL349" t="s">
        <v>61</v>
      </c>
    </row>
    <row r="350" spans="1:38" x14ac:dyDescent="0.25">
      <c r="A350" s="4">
        <v>33</v>
      </c>
      <c r="B350" t="s">
        <v>137</v>
      </c>
      <c r="C350" t="s">
        <v>49</v>
      </c>
      <c r="D350" s="5" t="s">
        <v>50</v>
      </c>
      <c r="E350" t="s">
        <v>51</v>
      </c>
      <c r="F350" s="6">
        <v>45155</v>
      </c>
      <c r="G350" s="7">
        <v>0.90277777777777801</v>
      </c>
      <c r="H350" t="s">
        <v>49</v>
      </c>
      <c r="I350" s="5" t="s">
        <v>102</v>
      </c>
      <c r="J350" t="s">
        <v>103</v>
      </c>
      <c r="K350" s="6">
        <v>45156</v>
      </c>
      <c r="L350" s="23">
        <v>0.25</v>
      </c>
      <c r="M350" s="5" t="s">
        <v>850</v>
      </c>
      <c r="N350" s="5" t="s">
        <v>69</v>
      </c>
      <c r="O350" s="8" t="s">
        <v>56</v>
      </c>
      <c r="Q350" t="s">
        <v>440</v>
      </c>
      <c r="R350" s="5" t="s">
        <v>312</v>
      </c>
      <c r="S350" s="9">
        <v>10</v>
      </c>
      <c r="T350" s="9">
        <v>5</v>
      </c>
      <c r="U350" s="9">
        <v>5</v>
      </c>
      <c r="V350" s="10">
        <f>Table1[[#This Row],[MARGIN '[€']]]/Table1[[#This Row],[SALES '[€']]]</f>
        <v>0.5</v>
      </c>
      <c r="W350" s="5">
        <v>9215166748</v>
      </c>
      <c r="X350" s="5" t="s">
        <v>848</v>
      </c>
      <c r="Y350" s="4">
        <v>57</v>
      </c>
      <c r="AA350" t="s">
        <v>89</v>
      </c>
      <c r="AL350" t="s">
        <v>61</v>
      </c>
    </row>
    <row r="351" spans="1:38" x14ac:dyDescent="0.25">
      <c r="A351" s="4">
        <v>33</v>
      </c>
      <c r="B351" t="s">
        <v>137</v>
      </c>
      <c r="C351" t="s">
        <v>49</v>
      </c>
      <c r="D351" s="5" t="s">
        <v>50</v>
      </c>
      <c r="E351" t="s">
        <v>51</v>
      </c>
      <c r="F351" s="6">
        <v>45155</v>
      </c>
      <c r="G351" s="7">
        <v>0.31944444444444398</v>
      </c>
      <c r="H351" t="s">
        <v>138</v>
      </c>
      <c r="I351" s="5" t="s">
        <v>139</v>
      </c>
      <c r="J351" t="s">
        <v>140</v>
      </c>
      <c r="K351" s="6">
        <v>45161</v>
      </c>
      <c r="L351" s="23">
        <v>0.243055555555556</v>
      </c>
      <c r="M351" s="5" t="s">
        <v>851</v>
      </c>
      <c r="N351" s="5" t="s">
        <v>142</v>
      </c>
      <c r="O351" s="8" t="s">
        <v>56</v>
      </c>
      <c r="P351" t="s">
        <v>143</v>
      </c>
      <c r="Q351" t="s">
        <v>852</v>
      </c>
      <c r="R351" s="5" t="s">
        <v>145</v>
      </c>
      <c r="S351" s="9">
        <v>10</v>
      </c>
      <c r="T351" s="9">
        <v>5</v>
      </c>
      <c r="U351" s="9">
        <v>5</v>
      </c>
      <c r="V351" s="10">
        <f>Table1[[#This Row],[MARGIN '[€']]]/Table1[[#This Row],[SALES '[€']]]</f>
        <v>0.5</v>
      </c>
      <c r="W351" s="5">
        <v>9215166660</v>
      </c>
      <c r="X351" s="5" t="s">
        <v>853</v>
      </c>
      <c r="Y351" s="4">
        <v>1360</v>
      </c>
      <c r="AA351" t="s">
        <v>60</v>
      </c>
      <c r="AL351" t="s">
        <v>61</v>
      </c>
    </row>
    <row r="352" spans="1:38" x14ac:dyDescent="0.25">
      <c r="A352" s="4">
        <v>33</v>
      </c>
      <c r="B352" t="s">
        <v>333</v>
      </c>
      <c r="C352" t="s">
        <v>49</v>
      </c>
      <c r="D352" s="5" t="s">
        <v>334</v>
      </c>
      <c r="E352" t="s">
        <v>335</v>
      </c>
      <c r="F352" s="6">
        <v>45156</v>
      </c>
      <c r="G352" s="7">
        <v>0.79166666666666696</v>
      </c>
      <c r="H352" t="s">
        <v>138</v>
      </c>
      <c r="I352" s="5">
        <v>87</v>
      </c>
      <c r="J352" t="s">
        <v>854</v>
      </c>
      <c r="K352" s="6">
        <v>45161</v>
      </c>
      <c r="L352" s="23">
        <v>0.25</v>
      </c>
      <c r="M352" s="5">
        <v>1002928159</v>
      </c>
      <c r="N352" s="5" t="s">
        <v>337</v>
      </c>
      <c r="O352" s="8" t="s">
        <v>338</v>
      </c>
      <c r="P352" t="s">
        <v>855</v>
      </c>
      <c r="Q352" t="s">
        <v>856</v>
      </c>
      <c r="R352" s="5" t="s">
        <v>584</v>
      </c>
      <c r="S352" s="9">
        <v>10</v>
      </c>
      <c r="T352" s="9">
        <v>5</v>
      </c>
      <c r="U352" s="9">
        <v>5</v>
      </c>
      <c r="V352" s="10">
        <f>Table1[[#This Row],[MARGIN '[€']]]/Table1[[#This Row],[SALES '[€']]]</f>
        <v>0.5</v>
      </c>
      <c r="W352" s="5">
        <v>9215166488</v>
      </c>
      <c r="X352" s="5" t="s">
        <v>857</v>
      </c>
      <c r="Y352" s="4">
        <v>1867</v>
      </c>
      <c r="Z352" t="s">
        <v>339</v>
      </c>
      <c r="AA352" t="s">
        <v>342</v>
      </c>
      <c r="AL352" t="s">
        <v>61</v>
      </c>
    </row>
    <row r="353" spans="1:40" x14ac:dyDescent="0.25">
      <c r="A353" s="4">
        <v>33</v>
      </c>
      <c r="B353" t="s">
        <v>333</v>
      </c>
      <c r="C353" t="s">
        <v>49</v>
      </c>
      <c r="D353" s="5" t="s">
        <v>334</v>
      </c>
      <c r="E353" t="s">
        <v>335</v>
      </c>
      <c r="F353" s="6">
        <v>45156</v>
      </c>
      <c r="G353" s="7">
        <v>0.79166666666666696</v>
      </c>
      <c r="H353" t="s">
        <v>138</v>
      </c>
      <c r="I353" s="5">
        <v>77</v>
      </c>
      <c r="J353" t="s">
        <v>858</v>
      </c>
      <c r="K353" s="6">
        <v>45161</v>
      </c>
      <c r="L353" s="3">
        <v>0.64583333333333304</v>
      </c>
      <c r="M353" s="5">
        <v>1002928543</v>
      </c>
      <c r="N353" s="5" t="s">
        <v>337</v>
      </c>
      <c r="O353" s="8" t="s">
        <v>338</v>
      </c>
      <c r="P353" t="s">
        <v>339</v>
      </c>
      <c r="Q353" t="s">
        <v>859</v>
      </c>
      <c r="R353" s="5" t="s">
        <v>578</v>
      </c>
      <c r="S353" s="9">
        <v>10</v>
      </c>
      <c r="T353" s="9">
        <v>5</v>
      </c>
      <c r="U353" s="9">
        <v>5</v>
      </c>
      <c r="V353" s="10">
        <f>Table1[[#This Row],[MARGIN '[€']]]/Table1[[#This Row],[SALES '[€']]]</f>
        <v>0.5</v>
      </c>
      <c r="W353" s="5" t="s">
        <v>860</v>
      </c>
      <c r="X353" s="5" t="s">
        <v>861</v>
      </c>
      <c r="Y353" s="4">
        <v>1529</v>
      </c>
      <c r="Z353" t="s">
        <v>339</v>
      </c>
      <c r="AA353" t="s">
        <v>163</v>
      </c>
      <c r="AL353" t="s">
        <v>61</v>
      </c>
    </row>
    <row r="354" spans="1:40" x14ac:dyDescent="0.25">
      <c r="A354" s="4">
        <v>33</v>
      </c>
      <c r="B354" t="s">
        <v>333</v>
      </c>
      <c r="C354" t="s">
        <v>49</v>
      </c>
      <c r="D354" s="5" t="s">
        <v>334</v>
      </c>
      <c r="E354" t="s">
        <v>335</v>
      </c>
      <c r="F354" s="6">
        <v>45156</v>
      </c>
      <c r="G354" s="7">
        <v>0.79166666666666696</v>
      </c>
      <c r="H354" t="s">
        <v>138</v>
      </c>
      <c r="I354" s="5">
        <v>62</v>
      </c>
      <c r="J354" t="s">
        <v>862</v>
      </c>
      <c r="K354" s="6">
        <v>45161</v>
      </c>
      <c r="L354" s="23" t="s">
        <v>568</v>
      </c>
      <c r="M354" s="5">
        <v>1002928260</v>
      </c>
      <c r="N354" s="5" t="s">
        <v>337</v>
      </c>
      <c r="O354" s="8" t="s">
        <v>338</v>
      </c>
      <c r="P354" t="s">
        <v>863</v>
      </c>
      <c r="R354" s="5" t="s">
        <v>339</v>
      </c>
      <c r="S354" s="9">
        <v>10</v>
      </c>
      <c r="T354" s="9">
        <v>5</v>
      </c>
      <c r="U354" s="9">
        <v>5</v>
      </c>
      <c r="V354" s="10">
        <f>Table1[[#This Row],[MARGIN '[€']]]/Table1[[#This Row],[SALES '[€']]]</f>
        <v>0.5</v>
      </c>
      <c r="W354" s="5" t="s">
        <v>339</v>
      </c>
      <c r="X354" s="5" t="s">
        <v>339</v>
      </c>
      <c r="Y354" s="4" t="s">
        <v>339</v>
      </c>
      <c r="Z354" t="s">
        <v>339</v>
      </c>
      <c r="AA354" t="s">
        <v>339</v>
      </c>
      <c r="AL354" t="s">
        <v>214</v>
      </c>
    </row>
    <row r="355" spans="1:40" x14ac:dyDescent="0.25">
      <c r="A355" s="4">
        <v>33</v>
      </c>
      <c r="B355" t="s">
        <v>333</v>
      </c>
      <c r="C355" t="s">
        <v>49</v>
      </c>
      <c r="D355" s="5" t="s">
        <v>334</v>
      </c>
      <c r="E355" t="s">
        <v>335</v>
      </c>
      <c r="F355" s="6">
        <v>45156</v>
      </c>
      <c r="G355" s="7">
        <v>0.3125</v>
      </c>
      <c r="H355" t="s">
        <v>138</v>
      </c>
      <c r="I355" s="5">
        <v>62</v>
      </c>
      <c r="J355" t="s">
        <v>397</v>
      </c>
      <c r="K355" s="6">
        <v>45130</v>
      </c>
      <c r="L355" s="23">
        <v>0.39583333333333298</v>
      </c>
      <c r="M355" s="5">
        <v>1002928545</v>
      </c>
      <c r="N355" s="5" t="s">
        <v>337</v>
      </c>
      <c r="O355" s="8" t="s">
        <v>338</v>
      </c>
      <c r="P355" t="s">
        <v>393</v>
      </c>
      <c r="Q355" t="s">
        <v>864</v>
      </c>
      <c r="R355" s="5" t="s">
        <v>584</v>
      </c>
      <c r="S355" s="9">
        <v>10</v>
      </c>
      <c r="T355" s="9">
        <v>5</v>
      </c>
      <c r="U355" s="9">
        <v>5</v>
      </c>
      <c r="V355" s="10">
        <f>Table1[[#This Row],[MARGIN '[€']]]/Table1[[#This Row],[SALES '[€']]]</f>
        <v>0.5</v>
      </c>
      <c r="W355" s="5" t="s">
        <v>865</v>
      </c>
      <c r="X355" s="5" t="s">
        <v>866</v>
      </c>
      <c r="Y355" s="4">
        <v>1570</v>
      </c>
      <c r="Z355" t="s">
        <v>339</v>
      </c>
      <c r="AA355" t="s">
        <v>342</v>
      </c>
      <c r="AL355" t="s">
        <v>61</v>
      </c>
    </row>
    <row r="356" spans="1:40" x14ac:dyDescent="0.25">
      <c r="A356" s="4">
        <v>33</v>
      </c>
      <c r="B356" t="s">
        <v>333</v>
      </c>
      <c r="C356" t="s">
        <v>49</v>
      </c>
      <c r="D356" s="5" t="s">
        <v>334</v>
      </c>
      <c r="E356" t="s">
        <v>335</v>
      </c>
      <c r="F356" s="6">
        <v>45156</v>
      </c>
      <c r="G356" s="7">
        <v>0.79166666666666696</v>
      </c>
      <c r="H356" t="s">
        <v>138</v>
      </c>
      <c r="I356" s="5">
        <v>69</v>
      </c>
      <c r="J356" t="s">
        <v>671</v>
      </c>
      <c r="K356" s="6">
        <v>45160</v>
      </c>
      <c r="L356" s="23">
        <v>0.33333333333333298</v>
      </c>
      <c r="M356" s="5">
        <v>1002948226</v>
      </c>
      <c r="N356" s="5" t="s">
        <v>337</v>
      </c>
      <c r="O356" s="8" t="s">
        <v>387</v>
      </c>
      <c r="P356" t="s">
        <v>867</v>
      </c>
      <c r="Q356" t="s">
        <v>868</v>
      </c>
      <c r="R356" s="5" t="s">
        <v>573</v>
      </c>
      <c r="S356" s="9">
        <v>10</v>
      </c>
      <c r="T356" s="9">
        <v>5</v>
      </c>
      <c r="U356" s="9">
        <v>5</v>
      </c>
      <c r="V356" s="10">
        <f>Table1[[#This Row],[MARGIN '[€']]]/Table1[[#This Row],[SALES '[€']]]</f>
        <v>0.5</v>
      </c>
      <c r="W356" s="5">
        <v>9215166688</v>
      </c>
      <c r="X356" s="5" t="s">
        <v>869</v>
      </c>
      <c r="Y356" s="4">
        <v>1650</v>
      </c>
      <c r="AA356" t="s">
        <v>342</v>
      </c>
      <c r="AL356" t="s">
        <v>61</v>
      </c>
    </row>
    <row r="357" spans="1:40" x14ac:dyDescent="0.25">
      <c r="A357" s="4">
        <v>33</v>
      </c>
      <c r="B357" t="s">
        <v>333</v>
      </c>
      <c r="C357" t="s">
        <v>49</v>
      </c>
      <c r="D357" s="5" t="s">
        <v>334</v>
      </c>
      <c r="E357" t="s">
        <v>335</v>
      </c>
      <c r="F357" s="6">
        <v>45156</v>
      </c>
      <c r="G357" s="7">
        <v>0.3125</v>
      </c>
      <c r="H357" t="s">
        <v>384</v>
      </c>
      <c r="I357" s="5">
        <v>29</v>
      </c>
      <c r="J357" t="s">
        <v>386</v>
      </c>
      <c r="K357" s="6">
        <v>45161</v>
      </c>
      <c r="L357" s="23">
        <v>0.29166666666666702</v>
      </c>
      <c r="M357" s="5">
        <v>1002948074</v>
      </c>
      <c r="N357" s="5" t="s">
        <v>337</v>
      </c>
      <c r="O357" s="8" t="s">
        <v>387</v>
      </c>
      <c r="Q357" t="s">
        <v>870</v>
      </c>
      <c r="R357" s="5" t="s">
        <v>452</v>
      </c>
      <c r="S357" s="9">
        <v>10</v>
      </c>
      <c r="T357" s="9">
        <v>5</v>
      </c>
      <c r="U357" s="9">
        <v>5</v>
      </c>
      <c r="V357" s="10">
        <f>Table1[[#This Row],[MARGIN '[€']]]/Table1[[#This Row],[SALES '[€']]]</f>
        <v>0.5</v>
      </c>
      <c r="W357" s="5">
        <v>9215166689</v>
      </c>
      <c r="X357" s="5" t="s">
        <v>871</v>
      </c>
      <c r="Y357" s="4">
        <v>1233</v>
      </c>
      <c r="AA357" t="s">
        <v>342</v>
      </c>
      <c r="AL357" t="s">
        <v>61</v>
      </c>
    </row>
    <row r="358" spans="1:40" x14ac:dyDescent="0.25">
      <c r="A358" s="4">
        <v>33</v>
      </c>
      <c r="B358" t="s">
        <v>333</v>
      </c>
      <c r="C358" t="s">
        <v>49</v>
      </c>
      <c r="D358" s="5" t="s">
        <v>334</v>
      </c>
      <c r="E358" t="s">
        <v>335</v>
      </c>
      <c r="F358" s="6">
        <v>45156</v>
      </c>
      <c r="G358" s="7">
        <v>0.85416666666666696</v>
      </c>
      <c r="H358" t="s">
        <v>384</v>
      </c>
      <c r="I358" s="5">
        <v>29</v>
      </c>
      <c r="J358" t="s">
        <v>386</v>
      </c>
      <c r="K358" s="6">
        <v>45161</v>
      </c>
      <c r="L358" s="23">
        <v>0.29166666666666702</v>
      </c>
      <c r="M358" s="5">
        <v>1002949341</v>
      </c>
      <c r="N358" s="5" t="s">
        <v>337</v>
      </c>
      <c r="O358" s="8" t="s">
        <v>387</v>
      </c>
      <c r="Q358" t="s">
        <v>872</v>
      </c>
      <c r="R358" s="5" t="s">
        <v>452</v>
      </c>
      <c r="S358" s="9">
        <v>10</v>
      </c>
      <c r="T358" s="9">
        <v>5</v>
      </c>
      <c r="U358" s="9">
        <v>5</v>
      </c>
      <c r="V358" s="10">
        <f>Table1[[#This Row],[MARGIN '[€']]]/Table1[[#This Row],[SALES '[€']]]</f>
        <v>0.5</v>
      </c>
      <c r="W358" s="5">
        <v>9215166711</v>
      </c>
      <c r="X358" s="5" t="s">
        <v>873</v>
      </c>
      <c r="Y358" s="4">
        <v>1233</v>
      </c>
      <c r="AA358" t="s">
        <v>342</v>
      </c>
      <c r="AL358" t="s">
        <v>61</v>
      </c>
    </row>
    <row r="359" spans="1:40" x14ac:dyDescent="0.25">
      <c r="A359" s="4">
        <v>33</v>
      </c>
      <c r="B359" t="s">
        <v>333</v>
      </c>
      <c r="C359" t="s">
        <v>49</v>
      </c>
      <c r="D359" s="5" t="s">
        <v>334</v>
      </c>
      <c r="E359" t="s">
        <v>335</v>
      </c>
      <c r="F359" s="6">
        <v>45156</v>
      </c>
      <c r="G359" s="7">
        <v>0.45833333333333298</v>
      </c>
      <c r="H359" t="s">
        <v>138</v>
      </c>
      <c r="I359" s="5">
        <v>13</v>
      </c>
      <c r="J359" t="s">
        <v>594</v>
      </c>
      <c r="K359" s="6">
        <v>45162</v>
      </c>
      <c r="L359" s="23">
        <v>0.72916666666666696</v>
      </c>
      <c r="M359" s="5">
        <v>1002929118</v>
      </c>
      <c r="N359" s="5" t="s">
        <v>337</v>
      </c>
      <c r="O359" s="8" t="s">
        <v>338</v>
      </c>
      <c r="P359" t="s">
        <v>874</v>
      </c>
      <c r="Q359" t="s">
        <v>875</v>
      </c>
      <c r="R359" s="5" t="s">
        <v>399</v>
      </c>
      <c r="S359" s="9">
        <v>10</v>
      </c>
      <c r="T359" s="9">
        <v>5</v>
      </c>
      <c r="U359" s="9">
        <v>5</v>
      </c>
      <c r="V359" s="10">
        <f>Table1[[#This Row],[MARGIN '[€']]]/Table1[[#This Row],[SALES '[€']]]</f>
        <v>0.5</v>
      </c>
      <c r="W359" s="5" t="s">
        <v>876</v>
      </c>
      <c r="X359" s="5" t="s">
        <v>877</v>
      </c>
      <c r="Y359" s="4">
        <v>1860</v>
      </c>
      <c r="Z359" t="s">
        <v>339</v>
      </c>
      <c r="AA359" t="s">
        <v>342</v>
      </c>
      <c r="AL359" t="s">
        <v>61</v>
      </c>
    </row>
    <row r="360" spans="1:40" x14ac:dyDescent="0.25">
      <c r="A360" s="4">
        <v>33</v>
      </c>
      <c r="B360" t="s">
        <v>607</v>
      </c>
      <c r="C360" t="s">
        <v>138</v>
      </c>
      <c r="D360" s="5" t="s">
        <v>878</v>
      </c>
      <c r="E360" t="s">
        <v>879</v>
      </c>
      <c r="F360" s="6">
        <v>45156</v>
      </c>
      <c r="G360" s="7">
        <v>0.625</v>
      </c>
      <c r="H360" t="s">
        <v>49</v>
      </c>
      <c r="I360" s="5" t="s">
        <v>156</v>
      </c>
      <c r="J360" t="s">
        <v>880</v>
      </c>
      <c r="K360" s="6">
        <v>45159</v>
      </c>
      <c r="L360" s="23">
        <v>4.1666666666666699E-2</v>
      </c>
      <c r="N360" s="5" t="s">
        <v>55</v>
      </c>
      <c r="O360" s="8" t="s">
        <v>56</v>
      </c>
      <c r="P360" t="s">
        <v>609</v>
      </c>
      <c r="Q360" t="s">
        <v>564</v>
      </c>
      <c r="R360" s="5" t="s">
        <v>565</v>
      </c>
      <c r="S360" s="9">
        <v>10</v>
      </c>
      <c r="T360" s="9">
        <v>5</v>
      </c>
      <c r="U360" s="9">
        <v>5</v>
      </c>
      <c r="V360" s="10">
        <f>Table1[[#This Row],[MARGIN '[€']]]/Table1[[#This Row],[SALES '[€']]]</f>
        <v>0.5</v>
      </c>
      <c r="W360" s="5">
        <v>2003369897</v>
      </c>
      <c r="X360" s="5" t="s">
        <v>881</v>
      </c>
      <c r="Y360" s="4">
        <v>1152</v>
      </c>
      <c r="Z360">
        <v>55</v>
      </c>
      <c r="AA360" t="s">
        <v>73</v>
      </c>
      <c r="AL360" t="s">
        <v>61</v>
      </c>
      <c r="AN360" t="s">
        <v>613</v>
      </c>
    </row>
    <row r="361" spans="1:40" x14ac:dyDescent="0.25">
      <c r="A361" s="4">
        <v>33</v>
      </c>
      <c r="B361" t="s">
        <v>607</v>
      </c>
      <c r="C361" t="s">
        <v>138</v>
      </c>
      <c r="D361" s="5" t="s">
        <v>882</v>
      </c>
      <c r="E361" t="s">
        <v>883</v>
      </c>
      <c r="F361" s="6">
        <v>45156</v>
      </c>
      <c r="G361" s="7">
        <v>0.44791666666666702</v>
      </c>
      <c r="H361" t="s">
        <v>49</v>
      </c>
      <c r="I361" s="5" t="s">
        <v>156</v>
      </c>
      <c r="J361" t="s">
        <v>884</v>
      </c>
      <c r="K361" s="6">
        <v>45160</v>
      </c>
      <c r="L361" s="23">
        <v>0.9375</v>
      </c>
      <c r="N361" s="5" t="s">
        <v>55</v>
      </c>
      <c r="O361" s="8" t="s">
        <v>56</v>
      </c>
      <c r="P361" t="s">
        <v>609</v>
      </c>
      <c r="Q361" t="s">
        <v>885</v>
      </c>
      <c r="R361" s="5" t="s">
        <v>611</v>
      </c>
      <c r="S361" s="9">
        <v>10</v>
      </c>
      <c r="T361" s="9">
        <v>5</v>
      </c>
      <c r="U361" s="9">
        <v>5</v>
      </c>
      <c r="V361" s="10">
        <f>Table1[[#This Row],[MARGIN '[€']]]/Table1[[#This Row],[SALES '[€']]]</f>
        <v>0.5</v>
      </c>
      <c r="W361" s="5">
        <v>2003369898</v>
      </c>
      <c r="X361" s="5" t="s">
        <v>886</v>
      </c>
      <c r="Y361" s="4">
        <v>1733</v>
      </c>
      <c r="Z361">
        <v>35</v>
      </c>
      <c r="AA361" t="s">
        <v>73</v>
      </c>
      <c r="AL361" t="s">
        <v>61</v>
      </c>
      <c r="AN361" t="s">
        <v>613</v>
      </c>
    </row>
    <row r="362" spans="1:40" x14ac:dyDescent="0.25">
      <c r="A362" s="4">
        <v>33</v>
      </c>
      <c r="B362" t="s">
        <v>48</v>
      </c>
      <c r="C362" t="s">
        <v>49</v>
      </c>
      <c r="D362" s="5" t="s">
        <v>50</v>
      </c>
      <c r="E362" t="s">
        <v>51</v>
      </c>
      <c r="F362" s="6">
        <v>45156</v>
      </c>
      <c r="G362" s="7">
        <v>0.29166666666666702</v>
      </c>
      <c r="H362" t="s">
        <v>66</v>
      </c>
      <c r="I362" s="5" t="s">
        <v>67</v>
      </c>
      <c r="J362" t="s">
        <v>68</v>
      </c>
      <c r="K362" s="6">
        <v>45157</v>
      </c>
      <c r="L362" s="23">
        <v>0.25</v>
      </c>
      <c r="M362" s="5">
        <v>119043</v>
      </c>
      <c r="N362" s="5" t="s">
        <v>69</v>
      </c>
      <c r="O362" s="8" t="s">
        <v>56</v>
      </c>
      <c r="P362" t="s">
        <v>76</v>
      </c>
      <c r="Q362" t="s">
        <v>887</v>
      </c>
      <c r="R362" s="5" t="s">
        <v>71</v>
      </c>
      <c r="S362" s="9">
        <v>10</v>
      </c>
      <c r="T362" s="9">
        <v>5</v>
      </c>
      <c r="U362" s="9">
        <v>5</v>
      </c>
      <c r="V362" s="10">
        <f>Table1[[#This Row],[MARGIN '[€']]]/Table1[[#This Row],[SALES '[€']]]</f>
        <v>0.5</v>
      </c>
      <c r="W362" s="5" t="s">
        <v>888</v>
      </c>
      <c r="X362" s="5" t="s">
        <v>889</v>
      </c>
      <c r="Y362" s="4">
        <v>316</v>
      </c>
      <c r="Z362" t="s">
        <v>890</v>
      </c>
      <c r="AA362" t="s">
        <v>60</v>
      </c>
      <c r="AL362" t="s">
        <v>61</v>
      </c>
    </row>
    <row r="363" spans="1:40" x14ac:dyDescent="0.25">
      <c r="A363" s="4">
        <v>33</v>
      </c>
      <c r="B363" t="s">
        <v>48</v>
      </c>
      <c r="C363" t="s">
        <v>49</v>
      </c>
      <c r="D363" s="5" t="s">
        <v>50</v>
      </c>
      <c r="E363" t="s">
        <v>51</v>
      </c>
      <c r="F363" s="6">
        <v>45156</v>
      </c>
      <c r="G363" s="7">
        <v>0.48611111111111099</v>
      </c>
      <c r="H363" t="s">
        <v>66</v>
      </c>
      <c r="I363" s="5" t="s">
        <v>67</v>
      </c>
      <c r="J363" t="s">
        <v>68</v>
      </c>
      <c r="K363" s="6">
        <v>45157</v>
      </c>
      <c r="L363" s="23">
        <v>0.41666666666666702</v>
      </c>
      <c r="M363" s="5">
        <v>119044</v>
      </c>
      <c r="N363" s="5" t="s">
        <v>69</v>
      </c>
      <c r="O363" s="8" t="s">
        <v>56</v>
      </c>
      <c r="P363" t="s">
        <v>76</v>
      </c>
      <c r="Q363" t="s">
        <v>891</v>
      </c>
      <c r="R363" s="5" t="s">
        <v>71</v>
      </c>
      <c r="S363" s="9">
        <v>10</v>
      </c>
      <c r="T363" s="9">
        <v>5</v>
      </c>
      <c r="U363" s="9">
        <v>5</v>
      </c>
      <c r="V363" s="10">
        <f>Table1[[#This Row],[MARGIN '[€']]]/Table1[[#This Row],[SALES '[€']]]</f>
        <v>0.5</v>
      </c>
      <c r="W363" s="5" t="s">
        <v>892</v>
      </c>
      <c r="X363" s="5" t="s">
        <v>893</v>
      </c>
      <c r="Y363" s="4">
        <v>316</v>
      </c>
      <c r="Z363" t="s">
        <v>894</v>
      </c>
      <c r="AA363" t="s">
        <v>60</v>
      </c>
      <c r="AL363" t="s">
        <v>61</v>
      </c>
    </row>
    <row r="364" spans="1:40" x14ac:dyDescent="0.25">
      <c r="A364" s="4">
        <v>33</v>
      </c>
      <c r="B364" t="s">
        <v>48</v>
      </c>
      <c r="C364" t="s">
        <v>49</v>
      </c>
      <c r="D364" s="5" t="s">
        <v>50</v>
      </c>
      <c r="E364" t="s">
        <v>51</v>
      </c>
      <c r="F364" s="6">
        <v>45156</v>
      </c>
      <c r="G364" s="7">
        <v>0.33333333333333298</v>
      </c>
      <c r="H364" t="s">
        <v>66</v>
      </c>
      <c r="I364" s="5" t="s">
        <v>67</v>
      </c>
      <c r="J364" t="s">
        <v>68</v>
      </c>
      <c r="K364" s="6">
        <v>45158</v>
      </c>
      <c r="L364" s="23">
        <v>0.75</v>
      </c>
      <c r="M364" s="5">
        <v>119726</v>
      </c>
      <c r="N364" s="5" t="s">
        <v>69</v>
      </c>
      <c r="O364" s="8" t="s">
        <v>56</v>
      </c>
      <c r="P364" t="s">
        <v>76</v>
      </c>
      <c r="Q364" t="s">
        <v>77</v>
      </c>
      <c r="R364" s="5" t="s">
        <v>71</v>
      </c>
      <c r="S364" s="9">
        <v>10</v>
      </c>
      <c r="T364" s="9">
        <v>5</v>
      </c>
      <c r="U364" s="9">
        <v>5</v>
      </c>
      <c r="V364" s="10">
        <f>Table1[[#This Row],[MARGIN '[€']]]/Table1[[#This Row],[SALES '[€']]]</f>
        <v>0.5</v>
      </c>
      <c r="W364" s="5" t="s">
        <v>895</v>
      </c>
      <c r="X364" s="5" t="s">
        <v>896</v>
      </c>
      <c r="Y364" s="4">
        <v>316</v>
      </c>
      <c r="Z364" t="s">
        <v>897</v>
      </c>
      <c r="AA364" t="s">
        <v>60</v>
      </c>
      <c r="AL364" t="s">
        <v>61</v>
      </c>
    </row>
    <row r="365" spans="1:40" x14ac:dyDescent="0.25">
      <c r="A365" s="4">
        <v>33</v>
      </c>
      <c r="B365" t="s">
        <v>48</v>
      </c>
      <c r="C365" t="s">
        <v>49</v>
      </c>
      <c r="D365" s="5" t="s">
        <v>50</v>
      </c>
      <c r="E365" t="s">
        <v>51</v>
      </c>
      <c r="F365" s="6">
        <v>45156</v>
      </c>
      <c r="G365" s="7">
        <v>0.55555555555555602</v>
      </c>
      <c r="H365" t="s">
        <v>66</v>
      </c>
      <c r="I365" s="5" t="s">
        <v>67</v>
      </c>
      <c r="J365" t="s">
        <v>68</v>
      </c>
      <c r="K365" s="6">
        <v>45158</v>
      </c>
      <c r="L365" s="23">
        <v>0.83333333333333304</v>
      </c>
      <c r="M365" s="5">
        <v>119727</v>
      </c>
      <c r="N365" s="5" t="s">
        <v>69</v>
      </c>
      <c r="O365" s="8" t="s">
        <v>56</v>
      </c>
      <c r="P365" t="s">
        <v>76</v>
      </c>
      <c r="Q365" t="s">
        <v>80</v>
      </c>
      <c r="R365" s="5" t="s">
        <v>71</v>
      </c>
      <c r="S365" s="9">
        <v>10</v>
      </c>
      <c r="T365" s="9">
        <v>5</v>
      </c>
      <c r="U365" s="9">
        <v>5</v>
      </c>
      <c r="V365" s="10">
        <f>Table1[[#This Row],[MARGIN '[€']]]/Table1[[#This Row],[SALES '[€']]]</f>
        <v>0.5</v>
      </c>
      <c r="W365" s="5" t="s">
        <v>898</v>
      </c>
      <c r="X365" s="5" t="s">
        <v>899</v>
      </c>
      <c r="Y365" s="4">
        <v>316</v>
      </c>
      <c r="Z365" t="s">
        <v>900</v>
      </c>
      <c r="AA365" t="s">
        <v>60</v>
      </c>
      <c r="AL365" t="s">
        <v>61</v>
      </c>
    </row>
    <row r="366" spans="1:40" x14ac:dyDescent="0.25">
      <c r="A366" s="4">
        <v>33</v>
      </c>
      <c r="B366" t="s">
        <v>48</v>
      </c>
      <c r="C366" t="s">
        <v>49</v>
      </c>
      <c r="D366" s="5" t="s">
        <v>50</v>
      </c>
      <c r="E366" t="s">
        <v>51</v>
      </c>
      <c r="F366" s="6">
        <v>45156</v>
      </c>
      <c r="G366" s="7">
        <v>0.625</v>
      </c>
      <c r="H366" t="s">
        <v>66</v>
      </c>
      <c r="I366" s="5" t="s">
        <v>67</v>
      </c>
      <c r="J366" t="s">
        <v>68</v>
      </c>
      <c r="K366" s="6">
        <v>45158</v>
      </c>
      <c r="L366" s="23">
        <v>0.91666666666666696</v>
      </c>
      <c r="M366" s="5">
        <v>119728</v>
      </c>
      <c r="N366" s="5" t="s">
        <v>69</v>
      </c>
      <c r="O366" s="8" t="s">
        <v>56</v>
      </c>
      <c r="P366" t="s">
        <v>76</v>
      </c>
      <c r="Q366" t="s">
        <v>901</v>
      </c>
      <c r="R366" s="5" t="s">
        <v>71</v>
      </c>
      <c r="S366" s="9">
        <v>10</v>
      </c>
      <c r="T366" s="9">
        <v>5</v>
      </c>
      <c r="U366" s="9">
        <v>5</v>
      </c>
      <c r="V366" s="10">
        <f>Table1[[#This Row],[MARGIN '[€']]]/Table1[[#This Row],[SALES '[€']]]</f>
        <v>0.5</v>
      </c>
      <c r="W366" s="5" t="s">
        <v>902</v>
      </c>
      <c r="X366" s="5" t="s">
        <v>903</v>
      </c>
      <c r="Y366" s="4">
        <v>316</v>
      </c>
      <c r="Z366" t="s">
        <v>904</v>
      </c>
      <c r="AA366" t="s">
        <v>60</v>
      </c>
      <c r="AL366" t="s">
        <v>61</v>
      </c>
    </row>
    <row r="367" spans="1:40" x14ac:dyDescent="0.25">
      <c r="A367" s="4">
        <v>33</v>
      </c>
      <c r="B367" t="s">
        <v>48</v>
      </c>
      <c r="C367" t="s">
        <v>49</v>
      </c>
      <c r="D367" s="5" t="s">
        <v>50</v>
      </c>
      <c r="E367" t="s">
        <v>51</v>
      </c>
      <c r="F367" s="6">
        <v>45156</v>
      </c>
      <c r="G367" s="7">
        <v>0.60416666666666696</v>
      </c>
      <c r="H367" t="s">
        <v>66</v>
      </c>
      <c r="I367" s="5">
        <v>32</v>
      </c>
      <c r="J367" t="s">
        <v>68</v>
      </c>
      <c r="K367" s="6">
        <v>45159</v>
      </c>
      <c r="L367" s="23">
        <v>0.25</v>
      </c>
      <c r="M367" s="5">
        <v>119891</v>
      </c>
      <c r="N367" s="5" t="s">
        <v>69</v>
      </c>
      <c r="O367" s="8" t="s">
        <v>56</v>
      </c>
      <c r="Q367" t="s">
        <v>246</v>
      </c>
      <c r="R367" s="5" t="s">
        <v>71</v>
      </c>
      <c r="S367" s="9">
        <v>10</v>
      </c>
      <c r="T367" s="9">
        <v>5</v>
      </c>
      <c r="U367" s="9">
        <v>5</v>
      </c>
      <c r="V367" s="10">
        <f>Table1[[#This Row],[MARGIN '[€']]]/Table1[[#This Row],[SALES '[€']]]</f>
        <v>0.5</v>
      </c>
      <c r="W367" s="5">
        <v>9215166891</v>
      </c>
      <c r="X367" s="5" t="s">
        <v>905</v>
      </c>
      <c r="Y367" s="4">
        <v>316</v>
      </c>
      <c r="AA367" t="s">
        <v>73</v>
      </c>
      <c r="AL367" t="s">
        <v>61</v>
      </c>
    </row>
    <row r="368" spans="1:40" x14ac:dyDescent="0.25">
      <c r="A368" s="4">
        <v>33</v>
      </c>
      <c r="B368" t="s">
        <v>48</v>
      </c>
      <c r="C368" t="s">
        <v>49</v>
      </c>
      <c r="D368" s="5" t="s">
        <v>50</v>
      </c>
      <c r="E368" t="s">
        <v>51</v>
      </c>
      <c r="F368" s="6">
        <v>45156</v>
      </c>
      <c r="G368" s="7">
        <v>0.47222222222222199</v>
      </c>
      <c r="H368" t="s">
        <v>66</v>
      </c>
      <c r="I368" s="5">
        <v>32</v>
      </c>
      <c r="J368" t="s">
        <v>68</v>
      </c>
      <c r="K368" s="6">
        <v>45159</v>
      </c>
      <c r="L368" s="23">
        <v>0.75</v>
      </c>
      <c r="M368" s="5">
        <v>119894</v>
      </c>
      <c r="N368" s="5" t="s">
        <v>69</v>
      </c>
      <c r="O368" s="8" t="s">
        <v>56</v>
      </c>
      <c r="Q368" t="s">
        <v>176</v>
      </c>
      <c r="R368" s="5" t="s">
        <v>177</v>
      </c>
      <c r="S368" s="9">
        <v>10</v>
      </c>
      <c r="T368" s="9">
        <v>5</v>
      </c>
      <c r="U368" s="9">
        <v>5</v>
      </c>
      <c r="V368" s="10">
        <f>Table1[[#This Row],[MARGIN '[€']]]/Table1[[#This Row],[SALES '[€']]]</f>
        <v>0.5</v>
      </c>
      <c r="W368" s="5">
        <v>9215166902</v>
      </c>
      <c r="X368" s="5" t="s">
        <v>906</v>
      </c>
      <c r="Y368" s="4">
        <v>316</v>
      </c>
      <c r="AA368" t="s">
        <v>73</v>
      </c>
      <c r="AL368" t="s">
        <v>61</v>
      </c>
    </row>
    <row r="369" spans="1:38" x14ac:dyDescent="0.25">
      <c r="A369" s="4">
        <v>33</v>
      </c>
      <c r="B369" t="s">
        <v>48</v>
      </c>
      <c r="C369" t="s">
        <v>49</v>
      </c>
      <c r="D369" s="5" t="s">
        <v>50</v>
      </c>
      <c r="E369" t="s">
        <v>51</v>
      </c>
      <c r="F369" s="6">
        <v>45156</v>
      </c>
      <c r="G369" s="7">
        <v>0.26388888888888901</v>
      </c>
      <c r="H369" t="s">
        <v>66</v>
      </c>
      <c r="I369" s="5">
        <v>32</v>
      </c>
      <c r="J369" t="s">
        <v>68</v>
      </c>
      <c r="K369" s="6">
        <v>45159</v>
      </c>
      <c r="L369" s="23">
        <v>0.83333333333333304</v>
      </c>
      <c r="M369" s="5">
        <v>119895</v>
      </c>
      <c r="N369" s="5" t="s">
        <v>69</v>
      </c>
      <c r="O369" s="8" t="s">
        <v>56</v>
      </c>
      <c r="Q369" t="s">
        <v>907</v>
      </c>
      <c r="R369" s="5" t="s">
        <v>177</v>
      </c>
      <c r="S369" s="9">
        <v>10</v>
      </c>
      <c r="T369" s="9">
        <v>5</v>
      </c>
      <c r="U369" s="9">
        <v>5</v>
      </c>
      <c r="V369" s="10">
        <f>Table1[[#This Row],[MARGIN '[€']]]/Table1[[#This Row],[SALES '[€']]]</f>
        <v>0.5</v>
      </c>
      <c r="W369" s="5">
        <v>9215166903</v>
      </c>
      <c r="X369" s="5" t="s">
        <v>908</v>
      </c>
      <c r="Y369" s="4">
        <v>316</v>
      </c>
      <c r="AA369" t="s">
        <v>73</v>
      </c>
      <c r="AL369" t="s">
        <v>61</v>
      </c>
    </row>
    <row r="370" spans="1:38" x14ac:dyDescent="0.25">
      <c r="A370" s="4">
        <v>33</v>
      </c>
      <c r="B370" t="s">
        <v>48</v>
      </c>
      <c r="C370" t="s">
        <v>49</v>
      </c>
      <c r="D370" s="5" t="s">
        <v>50</v>
      </c>
      <c r="E370" t="s">
        <v>51</v>
      </c>
      <c r="F370" s="6">
        <v>45156</v>
      </c>
      <c r="G370" s="7">
        <v>0.125</v>
      </c>
      <c r="H370" t="s">
        <v>90</v>
      </c>
      <c r="I370" s="5">
        <v>24</v>
      </c>
      <c r="J370" t="s">
        <v>92</v>
      </c>
      <c r="K370" s="6">
        <v>45156</v>
      </c>
      <c r="L370" s="23">
        <v>0.49652777777777801</v>
      </c>
      <c r="M370" s="5">
        <v>119764</v>
      </c>
      <c r="N370" s="5" t="s">
        <v>69</v>
      </c>
      <c r="O370" s="8" t="s">
        <v>56</v>
      </c>
      <c r="P370" t="s">
        <v>76</v>
      </c>
      <c r="Q370" t="s">
        <v>909</v>
      </c>
      <c r="R370" s="5" t="s">
        <v>98</v>
      </c>
      <c r="S370" s="9">
        <v>10</v>
      </c>
      <c r="T370" s="9">
        <v>5</v>
      </c>
      <c r="U370" s="9">
        <v>5</v>
      </c>
      <c r="V370" s="10">
        <f>Table1[[#This Row],[MARGIN '[€']]]/Table1[[#This Row],[SALES '[€']]]</f>
        <v>0.5</v>
      </c>
      <c r="W370" s="5" t="s">
        <v>910</v>
      </c>
      <c r="X370" s="5" t="s">
        <v>911</v>
      </c>
      <c r="Y370" s="4">
        <v>441</v>
      </c>
      <c r="Z370" t="s">
        <v>912</v>
      </c>
      <c r="AA370" t="s">
        <v>60</v>
      </c>
      <c r="AL370" t="s">
        <v>61</v>
      </c>
    </row>
    <row r="371" spans="1:38" x14ac:dyDescent="0.25">
      <c r="A371" s="4">
        <v>33</v>
      </c>
      <c r="B371" t="s">
        <v>48</v>
      </c>
      <c r="C371" t="s">
        <v>49</v>
      </c>
      <c r="D371" s="5" t="s">
        <v>50</v>
      </c>
      <c r="E371" t="s">
        <v>51</v>
      </c>
      <c r="F371" s="6">
        <v>45156</v>
      </c>
      <c r="G371" s="7">
        <v>0.16666666666666699</v>
      </c>
      <c r="H371" t="s">
        <v>52</v>
      </c>
      <c r="I371" s="5">
        <v>35</v>
      </c>
      <c r="J371" t="s">
        <v>54</v>
      </c>
      <c r="K371" s="6">
        <v>45156</v>
      </c>
      <c r="L371" s="23">
        <v>0.75</v>
      </c>
      <c r="M371" s="5">
        <v>119812</v>
      </c>
      <c r="N371" s="5" t="s">
        <v>55</v>
      </c>
      <c r="O371" s="8" t="s">
        <v>56</v>
      </c>
      <c r="Q371" t="s">
        <v>62</v>
      </c>
      <c r="R371" s="5" t="s">
        <v>58</v>
      </c>
      <c r="S371" s="9">
        <v>10</v>
      </c>
      <c r="T371" s="9">
        <v>5</v>
      </c>
      <c r="U371" s="9">
        <v>5</v>
      </c>
      <c r="V371" s="10">
        <f>Table1[[#This Row],[MARGIN '[€']]]/Table1[[#This Row],[SALES '[€']]]</f>
        <v>0.5</v>
      </c>
      <c r="W371" s="24">
        <v>9215166732</v>
      </c>
      <c r="X371" s="5" t="s">
        <v>913</v>
      </c>
      <c r="Y371" s="4">
        <v>82</v>
      </c>
      <c r="AA371" t="s">
        <v>60</v>
      </c>
      <c r="AL371" t="s">
        <v>61</v>
      </c>
    </row>
    <row r="372" spans="1:38" x14ac:dyDescent="0.25">
      <c r="A372" s="4">
        <v>33</v>
      </c>
      <c r="B372" t="s">
        <v>48</v>
      </c>
      <c r="C372" t="s">
        <v>49</v>
      </c>
      <c r="D372" s="5" t="s">
        <v>50</v>
      </c>
      <c r="E372" t="s">
        <v>51</v>
      </c>
      <c r="F372" s="6">
        <v>45156</v>
      </c>
      <c r="G372" s="7">
        <v>0.1875</v>
      </c>
      <c r="H372" t="s">
        <v>52</v>
      </c>
      <c r="I372" s="5">
        <v>35</v>
      </c>
      <c r="J372" t="s">
        <v>54</v>
      </c>
      <c r="K372" s="6">
        <v>45156</v>
      </c>
      <c r="L372" s="23">
        <v>0.75</v>
      </c>
      <c r="M372" s="5">
        <v>119813</v>
      </c>
      <c r="N372" s="5" t="s">
        <v>55</v>
      </c>
      <c r="O372" s="8" t="s">
        <v>56</v>
      </c>
      <c r="Q372" t="s">
        <v>57</v>
      </c>
      <c r="R372" s="5" t="s">
        <v>58</v>
      </c>
      <c r="S372" s="9">
        <v>10</v>
      </c>
      <c r="T372" s="9">
        <v>5</v>
      </c>
      <c r="U372" s="9">
        <v>5</v>
      </c>
      <c r="V372" s="10">
        <f>Table1[[#This Row],[MARGIN '[€']]]/Table1[[#This Row],[SALES '[€']]]</f>
        <v>0.5</v>
      </c>
      <c r="W372" s="5">
        <v>9215166733</v>
      </c>
      <c r="X372" s="5" t="s">
        <v>914</v>
      </c>
      <c r="Y372" s="4">
        <v>82</v>
      </c>
      <c r="AA372" t="s">
        <v>60</v>
      </c>
      <c r="AL372" t="s">
        <v>61</v>
      </c>
    </row>
    <row r="373" spans="1:38" x14ac:dyDescent="0.25">
      <c r="A373" s="4">
        <v>33</v>
      </c>
      <c r="B373" t="s">
        <v>48</v>
      </c>
      <c r="C373" t="s">
        <v>49</v>
      </c>
      <c r="D373" s="5" t="s">
        <v>50</v>
      </c>
      <c r="E373" t="s">
        <v>51</v>
      </c>
      <c r="F373" s="6">
        <v>45156</v>
      </c>
      <c r="G373" s="7">
        <v>0.20833333333333301</v>
      </c>
      <c r="H373" t="s">
        <v>52</v>
      </c>
      <c r="I373" s="5">
        <v>35</v>
      </c>
      <c r="J373" t="s">
        <v>54</v>
      </c>
      <c r="K373" s="6">
        <v>45156</v>
      </c>
      <c r="L373" s="23">
        <v>0.75</v>
      </c>
      <c r="M373" s="5">
        <v>119814</v>
      </c>
      <c r="N373" s="5" t="s">
        <v>55</v>
      </c>
      <c r="O373" s="8" t="s">
        <v>56</v>
      </c>
      <c r="Q373" t="s">
        <v>64</v>
      </c>
      <c r="R373" s="5" t="s">
        <v>58</v>
      </c>
      <c r="S373" s="9">
        <v>10</v>
      </c>
      <c r="T373" s="9">
        <v>5</v>
      </c>
      <c r="U373" s="9">
        <v>5</v>
      </c>
      <c r="V373" s="10">
        <f>Table1[[#This Row],[MARGIN '[€']]]/Table1[[#This Row],[SALES '[€']]]</f>
        <v>0.5</v>
      </c>
      <c r="W373" s="5">
        <v>9215166734</v>
      </c>
      <c r="Y373" s="4">
        <v>82</v>
      </c>
      <c r="AA373" t="s">
        <v>60</v>
      </c>
      <c r="AL373" t="s">
        <v>61</v>
      </c>
    </row>
    <row r="374" spans="1:38" x14ac:dyDescent="0.25">
      <c r="A374" s="4">
        <v>33</v>
      </c>
      <c r="B374" t="s">
        <v>48</v>
      </c>
      <c r="C374" t="s">
        <v>49</v>
      </c>
      <c r="D374" s="5" t="s">
        <v>50</v>
      </c>
      <c r="E374" t="s">
        <v>51</v>
      </c>
      <c r="F374" s="6">
        <v>45156</v>
      </c>
      <c r="G374" s="7">
        <v>0.22916666666666699</v>
      </c>
      <c r="H374" t="s">
        <v>52</v>
      </c>
      <c r="I374" s="5">
        <v>23</v>
      </c>
      <c r="J374" t="s">
        <v>85</v>
      </c>
      <c r="K374" s="6">
        <v>45156</v>
      </c>
      <c r="L374" s="23">
        <v>0.5</v>
      </c>
      <c r="M374" s="5">
        <v>119852</v>
      </c>
      <c r="N374" s="5" t="s">
        <v>69</v>
      </c>
      <c r="O374" s="8" t="s">
        <v>56</v>
      </c>
      <c r="Q374" t="s">
        <v>915</v>
      </c>
      <c r="R374" s="5" t="s">
        <v>831</v>
      </c>
      <c r="S374" s="9">
        <v>10</v>
      </c>
      <c r="T374" s="9">
        <v>5</v>
      </c>
      <c r="U374" s="9">
        <v>5</v>
      </c>
      <c r="V374" s="10">
        <f>Table1[[#This Row],[MARGIN '[€']]]/Table1[[#This Row],[SALES '[€']]]</f>
        <v>0.5</v>
      </c>
      <c r="W374" s="5">
        <v>9215166727</v>
      </c>
      <c r="X374" s="5" t="s">
        <v>916</v>
      </c>
      <c r="Y374" s="4">
        <v>261</v>
      </c>
      <c r="AA374" t="s">
        <v>89</v>
      </c>
      <c r="AL374" t="s">
        <v>61</v>
      </c>
    </row>
    <row r="375" spans="1:38" x14ac:dyDescent="0.25">
      <c r="A375" s="4">
        <v>33</v>
      </c>
      <c r="B375" t="s">
        <v>48</v>
      </c>
      <c r="C375" t="s">
        <v>49</v>
      </c>
      <c r="D375" s="5" t="s">
        <v>50</v>
      </c>
      <c r="E375" t="s">
        <v>51</v>
      </c>
      <c r="F375" s="6">
        <v>45156</v>
      </c>
      <c r="G375" s="7">
        <v>0.14583333333333301</v>
      </c>
      <c r="H375" t="s">
        <v>49</v>
      </c>
      <c r="I375" s="5">
        <v>94</v>
      </c>
      <c r="J375" t="s">
        <v>110</v>
      </c>
      <c r="K375" s="6">
        <v>45156</v>
      </c>
      <c r="L375" s="23">
        <v>0.33333333333333298</v>
      </c>
      <c r="M375" s="5">
        <v>119865</v>
      </c>
      <c r="N375" s="5" t="s">
        <v>69</v>
      </c>
      <c r="O375" s="8" t="s">
        <v>56</v>
      </c>
      <c r="P375" t="s">
        <v>76</v>
      </c>
      <c r="Q375" t="s">
        <v>111</v>
      </c>
      <c r="R375" s="5" t="s">
        <v>112</v>
      </c>
      <c r="S375" s="9">
        <v>10</v>
      </c>
      <c r="T375" s="9">
        <v>5</v>
      </c>
      <c r="U375" s="9">
        <v>5</v>
      </c>
      <c r="V375" s="10">
        <f>Table1[[#This Row],[MARGIN '[€']]]/Table1[[#This Row],[SALES '[€']]]</f>
        <v>0.5</v>
      </c>
      <c r="W375" s="5" t="s">
        <v>917</v>
      </c>
      <c r="X375" s="5" t="s">
        <v>918</v>
      </c>
      <c r="Y375" s="4">
        <v>345</v>
      </c>
      <c r="AA375" t="s">
        <v>89</v>
      </c>
      <c r="AL375" t="s">
        <v>61</v>
      </c>
    </row>
    <row r="376" spans="1:38" x14ac:dyDescent="0.25">
      <c r="A376" s="4">
        <v>33</v>
      </c>
      <c r="B376" t="s">
        <v>48</v>
      </c>
      <c r="C376" t="s">
        <v>49</v>
      </c>
      <c r="D376" s="5" t="s">
        <v>102</v>
      </c>
      <c r="E376" t="s">
        <v>103</v>
      </c>
      <c r="F376" s="6">
        <v>45156</v>
      </c>
      <c r="G376" s="7">
        <v>0.4375</v>
      </c>
      <c r="H376" t="s">
        <v>90</v>
      </c>
      <c r="I376" s="5" t="s">
        <v>304</v>
      </c>
      <c r="J376" t="s">
        <v>305</v>
      </c>
      <c r="K376" s="6">
        <v>45160</v>
      </c>
      <c r="L376" s="23">
        <v>0.66666666666666696</v>
      </c>
      <c r="M376" s="5">
        <v>119877</v>
      </c>
      <c r="N376" s="5" t="s">
        <v>55</v>
      </c>
      <c r="O376" s="8" t="s">
        <v>56</v>
      </c>
      <c r="P376" t="s">
        <v>76</v>
      </c>
      <c r="Q376" t="s">
        <v>919</v>
      </c>
      <c r="R376" s="5" t="s">
        <v>307</v>
      </c>
      <c r="S376" s="9">
        <v>10</v>
      </c>
      <c r="T376" s="9">
        <v>5</v>
      </c>
      <c r="U376" s="9">
        <v>5</v>
      </c>
      <c r="V376" s="10">
        <f>Table1[[#This Row],[MARGIN '[€']]]/Table1[[#This Row],[SALES '[€']]]</f>
        <v>0.5</v>
      </c>
      <c r="W376" s="5" t="s">
        <v>920</v>
      </c>
      <c r="X376" s="5" t="s">
        <v>921</v>
      </c>
      <c r="Y376" s="4">
        <v>621</v>
      </c>
      <c r="AA376" t="s">
        <v>89</v>
      </c>
      <c r="AL376" t="s">
        <v>61</v>
      </c>
    </row>
    <row r="377" spans="1:38" x14ac:dyDescent="0.25">
      <c r="A377" s="4">
        <v>33</v>
      </c>
      <c r="B377" t="s">
        <v>48</v>
      </c>
      <c r="C377" t="s">
        <v>49</v>
      </c>
      <c r="D377" s="5" t="s">
        <v>102</v>
      </c>
      <c r="E377" t="s">
        <v>103</v>
      </c>
      <c r="F377" s="6">
        <v>45156</v>
      </c>
      <c r="G377" s="7">
        <v>0.5</v>
      </c>
      <c r="H377" t="s">
        <v>90</v>
      </c>
      <c r="I377" s="5" t="s">
        <v>304</v>
      </c>
      <c r="J377" t="s">
        <v>305</v>
      </c>
      <c r="K377" s="6">
        <v>45160</v>
      </c>
      <c r="L377" s="23">
        <v>0.72916666666666696</v>
      </c>
      <c r="M377" s="5">
        <v>119878</v>
      </c>
      <c r="N377" s="5" t="s">
        <v>55</v>
      </c>
      <c r="O377" s="8" t="s">
        <v>56</v>
      </c>
      <c r="Q377" t="s">
        <v>306</v>
      </c>
      <c r="R377" s="5" t="s">
        <v>307</v>
      </c>
      <c r="S377" s="9">
        <v>10</v>
      </c>
      <c r="T377" s="9">
        <v>5</v>
      </c>
      <c r="U377" s="9">
        <v>5</v>
      </c>
      <c r="V377" s="10">
        <f>Table1[[#This Row],[MARGIN '[€']]]/Table1[[#This Row],[SALES '[€']]]</f>
        <v>0.5</v>
      </c>
      <c r="W377" s="5">
        <v>9215166736</v>
      </c>
      <c r="X377" s="5" t="s">
        <v>922</v>
      </c>
      <c r="Y377" s="4">
        <v>621</v>
      </c>
      <c r="AA377" t="s">
        <v>89</v>
      </c>
      <c r="AL377" t="s">
        <v>61</v>
      </c>
    </row>
    <row r="378" spans="1:38" x14ac:dyDescent="0.25">
      <c r="A378" s="4">
        <v>33</v>
      </c>
      <c r="B378" t="s">
        <v>48</v>
      </c>
      <c r="C378" t="s">
        <v>49</v>
      </c>
      <c r="D378" s="5" t="s">
        <v>50</v>
      </c>
      <c r="E378" t="s">
        <v>51</v>
      </c>
      <c r="F378" s="6">
        <v>45156</v>
      </c>
      <c r="G378" s="7">
        <v>0.27777777777777801</v>
      </c>
      <c r="H378" t="s">
        <v>216</v>
      </c>
      <c r="I378" s="5">
        <v>19</v>
      </c>
      <c r="J378" t="s">
        <v>217</v>
      </c>
      <c r="K378" s="6">
        <v>45159</v>
      </c>
      <c r="L378" s="23">
        <v>0.125</v>
      </c>
      <c r="M378" s="5">
        <v>119868</v>
      </c>
      <c r="N378" s="5" t="s">
        <v>69</v>
      </c>
      <c r="O378" s="8" t="s">
        <v>56</v>
      </c>
      <c r="Q378" t="s">
        <v>923</v>
      </c>
      <c r="R378" s="5" t="s">
        <v>924</v>
      </c>
      <c r="S378" s="9">
        <v>10</v>
      </c>
      <c r="T378" s="9">
        <v>5</v>
      </c>
      <c r="U378" s="9">
        <v>5</v>
      </c>
      <c r="V378" s="10">
        <f>Table1[[#This Row],[MARGIN '[€']]]/Table1[[#This Row],[SALES '[€']]]</f>
        <v>0.5</v>
      </c>
      <c r="W378" s="5">
        <v>9215166730</v>
      </c>
      <c r="X378" s="5" t="s">
        <v>925</v>
      </c>
      <c r="Y378" s="4">
        <v>629</v>
      </c>
      <c r="AA378" t="s">
        <v>89</v>
      </c>
      <c r="AL378" t="s">
        <v>61</v>
      </c>
    </row>
    <row r="379" spans="1:38" x14ac:dyDescent="0.25">
      <c r="A379" s="4">
        <v>33</v>
      </c>
      <c r="B379" t="s">
        <v>48</v>
      </c>
      <c r="C379" t="s">
        <v>49</v>
      </c>
      <c r="D379" s="5" t="s">
        <v>50</v>
      </c>
      <c r="E379" t="s">
        <v>51</v>
      </c>
      <c r="F379" s="6">
        <v>45156</v>
      </c>
      <c r="G379" s="7">
        <v>0.77777777777777801</v>
      </c>
      <c r="H379" t="s">
        <v>52</v>
      </c>
      <c r="I379" s="5">
        <v>23</v>
      </c>
      <c r="J379" t="s">
        <v>85</v>
      </c>
      <c r="K379" s="6">
        <v>45159</v>
      </c>
      <c r="L379" s="23">
        <v>0.25</v>
      </c>
      <c r="M379" s="5">
        <v>119939</v>
      </c>
      <c r="N379" s="5" t="s">
        <v>69</v>
      </c>
      <c r="O379" s="8" t="s">
        <v>56</v>
      </c>
      <c r="Q379" t="s">
        <v>111</v>
      </c>
      <c r="R379" s="5" t="s">
        <v>112</v>
      </c>
      <c r="S379" s="9">
        <v>10</v>
      </c>
      <c r="T379" s="9">
        <v>5</v>
      </c>
      <c r="U379" s="9">
        <v>5</v>
      </c>
      <c r="V379" s="10">
        <f>Table1[[#This Row],[MARGIN '[€']]]/Table1[[#This Row],[SALES '[€']]]</f>
        <v>0.5</v>
      </c>
      <c r="W379" s="5">
        <v>9215166737</v>
      </c>
      <c r="X379" s="5" t="s">
        <v>926</v>
      </c>
      <c r="Y379" s="4">
        <v>261</v>
      </c>
      <c r="AA379" t="s">
        <v>89</v>
      </c>
      <c r="AL379" t="s">
        <v>61</v>
      </c>
    </row>
    <row r="380" spans="1:38" x14ac:dyDescent="0.25">
      <c r="A380" s="4">
        <v>33</v>
      </c>
      <c r="B380" t="s">
        <v>48</v>
      </c>
      <c r="C380" t="s">
        <v>49</v>
      </c>
      <c r="D380" s="5" t="s">
        <v>50</v>
      </c>
      <c r="E380" t="s">
        <v>51</v>
      </c>
      <c r="F380" s="6">
        <v>45156</v>
      </c>
      <c r="G380" s="7">
        <v>0.22916666666666699</v>
      </c>
      <c r="H380" t="s">
        <v>52</v>
      </c>
      <c r="I380" s="5">
        <v>23</v>
      </c>
      <c r="J380" t="s">
        <v>85</v>
      </c>
      <c r="K380" s="6">
        <v>45159</v>
      </c>
      <c r="L380" s="23">
        <v>0.5</v>
      </c>
      <c r="M380" s="5">
        <v>119942</v>
      </c>
      <c r="N380" s="5" t="s">
        <v>69</v>
      </c>
      <c r="O380" s="8" t="s">
        <v>56</v>
      </c>
      <c r="Q380" t="s">
        <v>927</v>
      </c>
      <c r="R380" s="5" t="s">
        <v>831</v>
      </c>
      <c r="S380" s="9">
        <v>10</v>
      </c>
      <c r="T380" s="9">
        <v>5</v>
      </c>
      <c r="U380" s="9">
        <v>5</v>
      </c>
      <c r="V380" s="10">
        <f>Table1[[#This Row],[MARGIN '[€']]]/Table1[[#This Row],[SALES '[€']]]</f>
        <v>0.5</v>
      </c>
      <c r="W380" s="5">
        <v>9215166743</v>
      </c>
      <c r="X380" s="5" t="s">
        <v>928</v>
      </c>
      <c r="Y380" s="4">
        <v>261</v>
      </c>
      <c r="AA380" t="s">
        <v>89</v>
      </c>
      <c r="AL380" t="s">
        <v>61</v>
      </c>
    </row>
    <row r="381" spans="1:38" x14ac:dyDescent="0.25">
      <c r="A381" s="4">
        <v>33</v>
      </c>
      <c r="B381" t="s">
        <v>137</v>
      </c>
      <c r="C381" t="s">
        <v>49</v>
      </c>
      <c r="D381" s="5" t="s">
        <v>50</v>
      </c>
      <c r="E381" t="s">
        <v>51</v>
      </c>
      <c r="F381" s="6">
        <v>45156</v>
      </c>
      <c r="G381" s="7">
        <v>0.30555555555555503</v>
      </c>
      <c r="H381" t="s">
        <v>49</v>
      </c>
      <c r="I381" s="5" t="s">
        <v>102</v>
      </c>
      <c r="J381" t="s">
        <v>103</v>
      </c>
      <c r="K381" s="6">
        <v>45156</v>
      </c>
      <c r="L381" s="23">
        <v>0.375</v>
      </c>
      <c r="M381" s="5" t="s">
        <v>929</v>
      </c>
      <c r="N381" s="5" t="s">
        <v>69</v>
      </c>
      <c r="O381" s="8" t="s">
        <v>56</v>
      </c>
      <c r="Q381" t="s">
        <v>499</v>
      </c>
      <c r="R381" s="5" t="s">
        <v>500</v>
      </c>
      <c r="S381" s="9">
        <v>10</v>
      </c>
      <c r="T381" s="9">
        <v>5</v>
      </c>
      <c r="U381" s="9">
        <v>5</v>
      </c>
      <c r="V381" s="10">
        <f>Table1[[#This Row],[MARGIN '[€']]]/Table1[[#This Row],[SALES '[€']]]</f>
        <v>0.5</v>
      </c>
      <c r="W381" s="5">
        <v>9215166749</v>
      </c>
      <c r="X381" s="5" t="s">
        <v>930</v>
      </c>
      <c r="Y381" s="4">
        <v>57</v>
      </c>
      <c r="AA381" t="s">
        <v>89</v>
      </c>
      <c r="AL381" t="s">
        <v>61</v>
      </c>
    </row>
    <row r="382" spans="1:38" x14ac:dyDescent="0.25">
      <c r="A382" s="4">
        <v>33</v>
      </c>
      <c r="B382" t="s">
        <v>137</v>
      </c>
      <c r="C382" t="s">
        <v>49</v>
      </c>
      <c r="D382" s="5" t="s">
        <v>50</v>
      </c>
      <c r="E382" t="s">
        <v>51</v>
      </c>
      <c r="F382" s="6">
        <v>45156</v>
      </c>
      <c r="G382" s="7">
        <v>0.47222222222222199</v>
      </c>
      <c r="H382" t="s">
        <v>49</v>
      </c>
      <c r="I382" s="5" t="s">
        <v>102</v>
      </c>
      <c r="J382" t="s">
        <v>103</v>
      </c>
      <c r="K382" s="6">
        <v>45156</v>
      </c>
      <c r="L382" s="23">
        <v>0.58333333333333304</v>
      </c>
      <c r="M382" s="5" t="s">
        <v>931</v>
      </c>
      <c r="N382" s="5" t="s">
        <v>69</v>
      </c>
      <c r="O382" s="8" t="s">
        <v>56</v>
      </c>
      <c r="Q382" t="s">
        <v>499</v>
      </c>
      <c r="R382" s="5" t="s">
        <v>500</v>
      </c>
      <c r="S382" s="9">
        <v>10</v>
      </c>
      <c r="T382" s="9">
        <v>5</v>
      </c>
      <c r="U382" s="9">
        <v>5</v>
      </c>
      <c r="V382" s="10">
        <f>Table1[[#This Row],[MARGIN '[€']]]/Table1[[#This Row],[SALES '[€']]]</f>
        <v>0.5</v>
      </c>
      <c r="W382" s="5">
        <v>9215166750</v>
      </c>
      <c r="X382" s="5" t="s">
        <v>930</v>
      </c>
      <c r="Y382" s="4">
        <v>57</v>
      </c>
      <c r="AA382" t="s">
        <v>89</v>
      </c>
      <c r="AL382" t="s">
        <v>61</v>
      </c>
    </row>
    <row r="383" spans="1:38" x14ac:dyDescent="0.25">
      <c r="A383" s="4">
        <v>33</v>
      </c>
      <c r="B383" t="s">
        <v>137</v>
      </c>
      <c r="C383" t="s">
        <v>49</v>
      </c>
      <c r="D383" s="5" t="s">
        <v>50</v>
      </c>
      <c r="E383" t="s">
        <v>51</v>
      </c>
      <c r="F383" s="6">
        <v>45156</v>
      </c>
      <c r="G383" s="7">
        <v>0.36111111111111099</v>
      </c>
      <c r="H383" t="s">
        <v>49</v>
      </c>
      <c r="I383" s="5" t="s">
        <v>102</v>
      </c>
      <c r="J383" t="s">
        <v>103</v>
      </c>
      <c r="K383" s="6">
        <v>45156</v>
      </c>
      <c r="L383" s="23">
        <v>0.4375</v>
      </c>
      <c r="M383" s="5" t="s">
        <v>932</v>
      </c>
      <c r="N383" s="5" t="s">
        <v>69</v>
      </c>
      <c r="O383" s="8" t="s">
        <v>56</v>
      </c>
      <c r="Q383" t="s">
        <v>440</v>
      </c>
      <c r="R383" s="5" t="s">
        <v>312</v>
      </c>
      <c r="S383" s="9">
        <v>10</v>
      </c>
      <c r="T383" s="9">
        <v>5</v>
      </c>
      <c r="U383" s="9">
        <v>5</v>
      </c>
      <c r="V383" s="10">
        <f>Table1[[#This Row],[MARGIN '[€']]]/Table1[[#This Row],[SALES '[€']]]</f>
        <v>0.5</v>
      </c>
      <c r="W383" s="5">
        <v>9215166751</v>
      </c>
      <c r="X383" s="5" t="s">
        <v>933</v>
      </c>
      <c r="Y383" s="4">
        <v>57</v>
      </c>
      <c r="AA383" t="s">
        <v>89</v>
      </c>
      <c r="AL383" t="s">
        <v>61</v>
      </c>
    </row>
    <row r="384" spans="1:38" x14ac:dyDescent="0.25">
      <c r="A384" s="4">
        <v>33</v>
      </c>
      <c r="B384" t="s">
        <v>48</v>
      </c>
      <c r="C384" t="s">
        <v>49</v>
      </c>
      <c r="D384" s="5" t="s">
        <v>50</v>
      </c>
      <c r="E384" t="s">
        <v>309</v>
      </c>
      <c r="F384" s="6">
        <v>45156</v>
      </c>
      <c r="G384" s="7">
        <v>0.69444444444444398</v>
      </c>
      <c r="H384" t="s">
        <v>216</v>
      </c>
      <c r="I384" s="5">
        <v>19</v>
      </c>
      <c r="J384" t="s">
        <v>217</v>
      </c>
      <c r="K384" s="6">
        <v>45159</v>
      </c>
      <c r="L384" s="23">
        <v>0.4375</v>
      </c>
      <c r="M384" s="5" t="s">
        <v>934</v>
      </c>
      <c r="N384" s="5" t="s">
        <v>69</v>
      </c>
      <c r="O384" s="8" t="s">
        <v>56</v>
      </c>
      <c r="Q384" t="s">
        <v>935</v>
      </c>
      <c r="R384" s="5" t="s">
        <v>222</v>
      </c>
      <c r="S384" s="9">
        <v>10</v>
      </c>
      <c r="T384" s="9">
        <v>5</v>
      </c>
      <c r="U384" s="9">
        <v>5</v>
      </c>
      <c r="V384" s="10">
        <f>Table1[[#This Row],[MARGIN '[€']]]/Table1[[#This Row],[SALES '[€']]]</f>
        <v>0.5</v>
      </c>
      <c r="W384" s="5" t="s">
        <v>936</v>
      </c>
      <c r="X384" s="5" t="s">
        <v>937</v>
      </c>
      <c r="Y384" s="4">
        <v>629</v>
      </c>
      <c r="AA384" t="s">
        <v>89</v>
      </c>
      <c r="AL384" t="s">
        <v>61</v>
      </c>
    </row>
    <row r="385" spans="1:40" x14ac:dyDescent="0.25">
      <c r="A385" s="4">
        <v>33</v>
      </c>
      <c r="B385" t="s">
        <v>48</v>
      </c>
      <c r="C385" t="s">
        <v>49</v>
      </c>
      <c r="D385" s="5" t="s">
        <v>50</v>
      </c>
      <c r="E385" t="s">
        <v>938</v>
      </c>
      <c r="F385" s="6">
        <v>45156</v>
      </c>
      <c r="G385" s="7">
        <v>0.46875</v>
      </c>
      <c r="H385" t="s">
        <v>49</v>
      </c>
      <c r="I385" s="5">
        <v>94</v>
      </c>
      <c r="J385" t="s">
        <v>110</v>
      </c>
      <c r="K385" s="6">
        <v>45159</v>
      </c>
      <c r="L385" s="23">
        <v>0.29166666666666702</v>
      </c>
      <c r="M385" s="5" t="s">
        <v>939</v>
      </c>
      <c r="N385" s="5" t="s">
        <v>69</v>
      </c>
      <c r="O385" s="8" t="s">
        <v>56</v>
      </c>
      <c r="Q385" t="s">
        <v>440</v>
      </c>
      <c r="R385" s="5" t="s">
        <v>312</v>
      </c>
      <c r="S385" s="9">
        <v>10</v>
      </c>
      <c r="T385" s="9">
        <v>5</v>
      </c>
      <c r="U385" s="9">
        <v>5</v>
      </c>
      <c r="V385" s="10">
        <f>Table1[[#This Row],[MARGIN '[€']]]/Table1[[#This Row],[SALES '[€']]]</f>
        <v>0.5</v>
      </c>
      <c r="W385" s="5" t="s">
        <v>940</v>
      </c>
      <c r="X385" s="5" t="s">
        <v>941</v>
      </c>
      <c r="Y385" s="4">
        <v>345</v>
      </c>
      <c r="AA385" t="s">
        <v>89</v>
      </c>
      <c r="AL385" t="s">
        <v>61</v>
      </c>
    </row>
    <row r="386" spans="1:40" x14ac:dyDescent="0.25">
      <c r="A386" s="4">
        <v>33</v>
      </c>
      <c r="B386" t="s">
        <v>48</v>
      </c>
      <c r="C386" t="s">
        <v>49</v>
      </c>
      <c r="D386" s="5" t="s">
        <v>50</v>
      </c>
      <c r="E386" t="s">
        <v>51</v>
      </c>
      <c r="F386" s="6">
        <v>45156</v>
      </c>
      <c r="G386" s="7">
        <v>0.5</v>
      </c>
      <c r="H386" t="s">
        <v>49</v>
      </c>
      <c r="I386" s="5">
        <v>94</v>
      </c>
      <c r="J386" t="s">
        <v>110</v>
      </c>
      <c r="K386" s="6">
        <v>45159</v>
      </c>
      <c r="L386" s="23">
        <v>0.33333333333333298</v>
      </c>
      <c r="M386" s="5">
        <v>120021</v>
      </c>
      <c r="N386" s="5" t="s">
        <v>69</v>
      </c>
      <c r="O386" s="8" t="s">
        <v>56</v>
      </c>
      <c r="Q386" t="s">
        <v>942</v>
      </c>
      <c r="R386" s="5" t="s">
        <v>356</v>
      </c>
      <c r="S386" s="9">
        <v>10</v>
      </c>
      <c r="T386" s="9">
        <v>5</v>
      </c>
      <c r="U386" s="9">
        <v>5</v>
      </c>
      <c r="V386" s="10">
        <f>Table1[[#This Row],[MARGIN '[€']]]/Table1[[#This Row],[SALES '[€']]]</f>
        <v>0.5</v>
      </c>
      <c r="W386" s="5">
        <v>9215166741</v>
      </c>
      <c r="X386" s="5" t="s">
        <v>943</v>
      </c>
      <c r="Y386" s="4">
        <v>345</v>
      </c>
      <c r="AA386" t="s">
        <v>89</v>
      </c>
      <c r="AL386" t="s">
        <v>61</v>
      </c>
    </row>
    <row r="387" spans="1:40" x14ac:dyDescent="0.25">
      <c r="A387" s="4">
        <v>33</v>
      </c>
      <c r="B387" t="s">
        <v>48</v>
      </c>
      <c r="C387" t="s">
        <v>49</v>
      </c>
      <c r="D387" s="5" t="s">
        <v>102</v>
      </c>
      <c r="E387" t="s">
        <v>103</v>
      </c>
      <c r="F387" s="6">
        <v>45156</v>
      </c>
      <c r="G387" s="7">
        <v>0.625</v>
      </c>
      <c r="H387" t="s">
        <v>49</v>
      </c>
      <c r="I387" s="5">
        <v>94</v>
      </c>
      <c r="J387" t="s">
        <v>110</v>
      </c>
      <c r="K387" s="6">
        <v>45159</v>
      </c>
      <c r="L387" s="23">
        <v>0.41666666666666702</v>
      </c>
      <c r="M387" s="5">
        <v>120023</v>
      </c>
      <c r="N387" s="5" t="s">
        <v>69</v>
      </c>
      <c r="O387" s="8" t="s">
        <v>56</v>
      </c>
      <c r="Q387" t="s">
        <v>944</v>
      </c>
      <c r="R387" s="5" t="s">
        <v>266</v>
      </c>
      <c r="S387" s="9">
        <v>10</v>
      </c>
      <c r="T387" s="9">
        <v>5</v>
      </c>
      <c r="U387" s="9">
        <v>5</v>
      </c>
      <c r="V387" s="10">
        <f>Table1[[#This Row],[MARGIN '[€']]]/Table1[[#This Row],[SALES '[€']]]</f>
        <v>0.5</v>
      </c>
      <c r="W387" s="5">
        <v>9215166756</v>
      </c>
      <c r="X387" s="5" t="s">
        <v>945</v>
      </c>
      <c r="Y387" s="4">
        <v>345</v>
      </c>
      <c r="AA387" t="s">
        <v>89</v>
      </c>
      <c r="AL387" t="s">
        <v>61</v>
      </c>
    </row>
    <row r="388" spans="1:40" x14ac:dyDescent="0.25">
      <c r="A388" s="4">
        <v>33</v>
      </c>
      <c r="B388" t="s">
        <v>48</v>
      </c>
      <c r="C388" t="s">
        <v>49</v>
      </c>
      <c r="D388" s="5" t="s">
        <v>102</v>
      </c>
      <c r="E388" t="s">
        <v>103</v>
      </c>
      <c r="F388" s="6">
        <v>45156</v>
      </c>
      <c r="G388" s="7">
        <v>0.53125</v>
      </c>
      <c r="H388" t="s">
        <v>49</v>
      </c>
      <c r="I388" s="5">
        <v>94</v>
      </c>
      <c r="J388" t="s">
        <v>110</v>
      </c>
      <c r="K388" s="6">
        <v>45159</v>
      </c>
      <c r="L388" s="23">
        <v>0.45833333333333298</v>
      </c>
      <c r="M388" s="5">
        <v>120024</v>
      </c>
      <c r="N388" s="5" t="s">
        <v>69</v>
      </c>
      <c r="O388" s="8" t="s">
        <v>56</v>
      </c>
      <c r="Q388" t="s">
        <v>756</v>
      </c>
      <c r="R388" s="5" t="s">
        <v>201</v>
      </c>
      <c r="S388" s="9">
        <v>10</v>
      </c>
      <c r="T388" s="9">
        <v>5</v>
      </c>
      <c r="U388" s="9">
        <v>5</v>
      </c>
      <c r="V388" s="10">
        <f>Table1[[#This Row],[MARGIN '[€']]]/Table1[[#This Row],[SALES '[€']]]</f>
        <v>0.5</v>
      </c>
      <c r="W388" s="5">
        <v>9215166758</v>
      </c>
      <c r="X388" s="5" t="s">
        <v>946</v>
      </c>
      <c r="Y388" s="4">
        <v>345</v>
      </c>
      <c r="AA388" t="s">
        <v>89</v>
      </c>
      <c r="AL388" t="s">
        <v>61</v>
      </c>
    </row>
    <row r="389" spans="1:40" x14ac:dyDescent="0.25">
      <c r="A389" s="4">
        <v>33</v>
      </c>
      <c r="B389" t="s">
        <v>48</v>
      </c>
      <c r="C389" t="s">
        <v>49</v>
      </c>
      <c r="D389" s="5" t="s">
        <v>102</v>
      </c>
      <c r="E389" t="s">
        <v>103</v>
      </c>
      <c r="F389" s="6">
        <v>45156</v>
      </c>
      <c r="G389" s="7">
        <v>0.28125</v>
      </c>
      <c r="H389" t="s">
        <v>49</v>
      </c>
      <c r="I389" s="5">
        <v>94</v>
      </c>
      <c r="J389" t="s">
        <v>110</v>
      </c>
      <c r="K389" s="6">
        <v>45159</v>
      </c>
      <c r="L389" s="23">
        <v>0.5</v>
      </c>
      <c r="M389" s="5">
        <v>120025</v>
      </c>
      <c r="N389" s="5" t="s">
        <v>69</v>
      </c>
      <c r="O389" s="8" t="s">
        <v>56</v>
      </c>
      <c r="Q389" t="s">
        <v>412</v>
      </c>
      <c r="R389" s="5" t="s">
        <v>94</v>
      </c>
      <c r="S389" s="9">
        <v>10</v>
      </c>
      <c r="T389" s="9">
        <v>5</v>
      </c>
      <c r="U389" s="9">
        <v>5</v>
      </c>
      <c r="V389" s="10">
        <f>Table1[[#This Row],[MARGIN '[€']]]/Table1[[#This Row],[SALES '[€']]]</f>
        <v>0.5</v>
      </c>
      <c r="W389" s="5">
        <v>9215166759</v>
      </c>
      <c r="X389" s="5" t="s">
        <v>947</v>
      </c>
      <c r="Y389" s="4">
        <v>345</v>
      </c>
      <c r="AA389" t="s">
        <v>89</v>
      </c>
      <c r="AL389" t="s">
        <v>61</v>
      </c>
    </row>
    <row r="390" spans="1:40" x14ac:dyDescent="0.25">
      <c r="A390" s="4">
        <v>33</v>
      </c>
      <c r="B390" t="s">
        <v>48</v>
      </c>
      <c r="C390" t="s">
        <v>49</v>
      </c>
      <c r="D390" s="5" t="s">
        <v>102</v>
      </c>
      <c r="E390" t="s">
        <v>103</v>
      </c>
      <c r="F390" s="6">
        <v>45156</v>
      </c>
      <c r="G390" s="7">
        <v>0.25</v>
      </c>
      <c r="H390" t="s">
        <v>49</v>
      </c>
      <c r="I390" s="5">
        <v>94</v>
      </c>
      <c r="J390" t="s">
        <v>110</v>
      </c>
      <c r="K390" s="6">
        <v>45159</v>
      </c>
      <c r="L390" s="23">
        <v>0.54166666666666696</v>
      </c>
      <c r="M390" s="5">
        <v>120026</v>
      </c>
      <c r="N390" s="5" t="s">
        <v>69</v>
      </c>
      <c r="O390" s="8" t="s">
        <v>56</v>
      </c>
      <c r="Q390" t="s">
        <v>948</v>
      </c>
      <c r="R390" s="5" t="s">
        <v>98</v>
      </c>
      <c r="S390" s="9">
        <v>10</v>
      </c>
      <c r="T390" s="9">
        <v>5</v>
      </c>
      <c r="U390" s="9">
        <v>5</v>
      </c>
      <c r="V390" s="10">
        <f>Table1[[#This Row],[MARGIN '[€']]]/Table1[[#This Row],[SALES '[€']]]</f>
        <v>0.5</v>
      </c>
      <c r="W390" s="5" t="s">
        <v>949</v>
      </c>
      <c r="X390" s="5" t="s">
        <v>950</v>
      </c>
      <c r="Y390" s="4">
        <v>345</v>
      </c>
      <c r="Z390" t="s">
        <v>951</v>
      </c>
      <c r="AA390" t="s">
        <v>89</v>
      </c>
      <c r="AL390" t="s">
        <v>61</v>
      </c>
    </row>
    <row r="391" spans="1:40" x14ac:dyDescent="0.25">
      <c r="A391" s="4">
        <v>33</v>
      </c>
      <c r="B391" t="s">
        <v>48</v>
      </c>
      <c r="C391" t="s">
        <v>49</v>
      </c>
      <c r="D391" s="5" t="s">
        <v>50</v>
      </c>
      <c r="E391" t="s">
        <v>51</v>
      </c>
      <c r="F391" s="6">
        <v>45157</v>
      </c>
      <c r="G391" s="7">
        <v>0.83333333333333304</v>
      </c>
      <c r="H391" t="s">
        <v>216</v>
      </c>
      <c r="I391" s="5">
        <v>19</v>
      </c>
      <c r="J391" t="s">
        <v>217</v>
      </c>
      <c r="K391" s="6">
        <v>45159</v>
      </c>
      <c r="L391" s="23">
        <v>4.1666666666666699E-2</v>
      </c>
      <c r="M391" s="5">
        <v>119867</v>
      </c>
      <c r="N391" s="5" t="s">
        <v>69</v>
      </c>
      <c r="O391" s="8" t="s">
        <v>56</v>
      </c>
      <c r="Q391" t="s">
        <v>698</v>
      </c>
      <c r="R391" s="5" t="s">
        <v>699</v>
      </c>
      <c r="S391" s="9">
        <v>10</v>
      </c>
      <c r="T391" s="9">
        <v>5</v>
      </c>
      <c r="U391" s="9">
        <v>5</v>
      </c>
      <c r="V391" s="10">
        <f>Table1[[#This Row],[MARGIN '[€']]]/Table1[[#This Row],[SALES '[€']]]</f>
        <v>0.5</v>
      </c>
      <c r="W391" s="5">
        <v>9215166729</v>
      </c>
      <c r="X391" s="5" t="s">
        <v>952</v>
      </c>
      <c r="Y391" s="4">
        <v>629</v>
      </c>
      <c r="AA391" t="s">
        <v>89</v>
      </c>
      <c r="AL391" t="s">
        <v>61</v>
      </c>
    </row>
    <row r="392" spans="1:40" x14ac:dyDescent="0.25">
      <c r="A392" s="4">
        <v>33</v>
      </c>
      <c r="B392" t="s">
        <v>48</v>
      </c>
      <c r="C392" t="s">
        <v>49</v>
      </c>
      <c r="D392" s="5" t="s">
        <v>50</v>
      </c>
      <c r="E392" t="s">
        <v>51</v>
      </c>
      <c r="F392" s="6">
        <v>45158</v>
      </c>
      <c r="G392" s="7">
        <v>0.95833333333333304</v>
      </c>
      <c r="H392" t="s">
        <v>49</v>
      </c>
      <c r="I392" s="5">
        <v>94</v>
      </c>
      <c r="J392" t="s">
        <v>110</v>
      </c>
      <c r="K392" s="6">
        <v>45159</v>
      </c>
      <c r="L392" s="23">
        <v>0.375</v>
      </c>
      <c r="M392" s="5">
        <v>120022</v>
      </c>
      <c r="N392" s="5" t="s">
        <v>69</v>
      </c>
      <c r="O392" s="8" t="s">
        <v>56</v>
      </c>
      <c r="Q392" t="s">
        <v>188</v>
      </c>
      <c r="R392" s="5" t="s">
        <v>94</v>
      </c>
      <c r="S392" s="9">
        <v>10</v>
      </c>
      <c r="T392" s="9">
        <v>5</v>
      </c>
      <c r="U392" s="9">
        <v>5</v>
      </c>
      <c r="V392" s="10">
        <f>Table1[[#This Row],[MARGIN '[€']]]/Table1[[#This Row],[SALES '[€']]]</f>
        <v>0.5</v>
      </c>
      <c r="W392" s="5">
        <v>9215166780</v>
      </c>
      <c r="X392" s="5" t="s">
        <v>953</v>
      </c>
      <c r="Y392" s="4">
        <v>345</v>
      </c>
      <c r="AA392" t="s">
        <v>89</v>
      </c>
      <c r="AL392" t="s">
        <v>61</v>
      </c>
    </row>
    <row r="393" spans="1:40" x14ac:dyDescent="0.25">
      <c r="A393" s="4">
        <v>33</v>
      </c>
      <c r="B393" t="s">
        <v>48</v>
      </c>
      <c r="C393" t="s">
        <v>49</v>
      </c>
      <c r="D393" s="5" t="s">
        <v>50</v>
      </c>
      <c r="E393" t="s">
        <v>51</v>
      </c>
      <c r="F393" s="6">
        <v>45158</v>
      </c>
      <c r="G393" s="7">
        <v>0.9375</v>
      </c>
      <c r="H393" t="s">
        <v>90</v>
      </c>
      <c r="I393" s="5">
        <v>24</v>
      </c>
      <c r="J393" t="s">
        <v>92</v>
      </c>
      <c r="K393" s="6">
        <v>45159</v>
      </c>
      <c r="L393" s="23">
        <v>0.24652777777777801</v>
      </c>
      <c r="M393" s="5">
        <v>120052</v>
      </c>
      <c r="N393" s="5" t="s">
        <v>69</v>
      </c>
      <c r="O393" s="8" t="s">
        <v>56</v>
      </c>
      <c r="Q393" t="s">
        <v>129</v>
      </c>
      <c r="R393" s="5" t="s">
        <v>94</v>
      </c>
      <c r="S393" s="9">
        <v>10</v>
      </c>
      <c r="T393" s="9">
        <v>5</v>
      </c>
      <c r="U393" s="9">
        <v>5</v>
      </c>
      <c r="V393" s="10">
        <f>Table1[[#This Row],[MARGIN '[€']]]/Table1[[#This Row],[SALES '[€']]]</f>
        <v>0.5</v>
      </c>
      <c r="W393" s="5">
        <v>9215166771</v>
      </c>
      <c r="X393" s="5" t="s">
        <v>954</v>
      </c>
      <c r="Y393" s="4">
        <v>441</v>
      </c>
      <c r="Z393" t="s">
        <v>955</v>
      </c>
      <c r="AA393" t="s">
        <v>89</v>
      </c>
      <c r="AL393" t="s">
        <v>61</v>
      </c>
    </row>
    <row r="394" spans="1:40" x14ac:dyDescent="0.25">
      <c r="A394" s="4">
        <v>34</v>
      </c>
      <c r="B394" t="s">
        <v>476</v>
      </c>
      <c r="C394" t="s">
        <v>153</v>
      </c>
      <c r="D394" s="5" t="s">
        <v>477</v>
      </c>
      <c r="E394" t="s">
        <v>478</v>
      </c>
      <c r="F394" s="6">
        <v>45159</v>
      </c>
      <c r="G394" s="7">
        <v>0.79166666666666696</v>
      </c>
      <c r="H394" t="s">
        <v>49</v>
      </c>
      <c r="I394" s="5" t="s">
        <v>479</v>
      </c>
      <c r="J394" t="s">
        <v>480</v>
      </c>
      <c r="K394" s="6">
        <v>45162</v>
      </c>
      <c r="L394" s="23">
        <v>0.41666666666666702</v>
      </c>
      <c r="N394" s="5" t="s">
        <v>55</v>
      </c>
      <c r="O394" s="8" t="s">
        <v>56</v>
      </c>
      <c r="P394" t="s">
        <v>238</v>
      </c>
      <c r="Q394" t="s">
        <v>956</v>
      </c>
      <c r="R394" s="5" t="s">
        <v>482</v>
      </c>
      <c r="S394" s="9">
        <v>10</v>
      </c>
      <c r="T394" s="9">
        <v>5</v>
      </c>
      <c r="U394" s="9">
        <v>5</v>
      </c>
      <c r="V394" s="10">
        <f>Table1[[#This Row],[MARGIN '[€']]]/Table1[[#This Row],[SALES '[€']]]</f>
        <v>0.5</v>
      </c>
      <c r="W394" s="5">
        <v>9215166813</v>
      </c>
      <c r="X394" s="5" t="s">
        <v>957</v>
      </c>
      <c r="Y394" s="4">
        <v>1900</v>
      </c>
      <c r="AA394" t="s">
        <v>73</v>
      </c>
      <c r="AL394" t="s">
        <v>61</v>
      </c>
    </row>
    <row r="395" spans="1:40" x14ac:dyDescent="0.25">
      <c r="A395" s="4">
        <v>34</v>
      </c>
      <c r="B395" t="s">
        <v>170</v>
      </c>
      <c r="C395" t="s">
        <v>49</v>
      </c>
      <c r="D395" s="5" t="s">
        <v>156</v>
      </c>
      <c r="E395" t="s">
        <v>173</v>
      </c>
      <c r="F395" s="6">
        <v>45159</v>
      </c>
      <c r="G395" s="7">
        <v>0.375</v>
      </c>
      <c r="H395" t="s">
        <v>153</v>
      </c>
      <c r="I395" s="5" t="s">
        <v>171</v>
      </c>
      <c r="J395" t="s">
        <v>172</v>
      </c>
      <c r="K395" s="6">
        <v>45162</v>
      </c>
      <c r="L395" s="23">
        <v>0.33333333333333298</v>
      </c>
      <c r="N395" s="5" t="s">
        <v>55</v>
      </c>
      <c r="O395" s="8" t="s">
        <v>159</v>
      </c>
      <c r="P395">
        <v>1500</v>
      </c>
      <c r="Q395" t="s">
        <v>287</v>
      </c>
      <c r="R395" s="5" t="s">
        <v>161</v>
      </c>
      <c r="S395" s="9">
        <v>10</v>
      </c>
      <c r="T395" s="9">
        <v>5</v>
      </c>
      <c r="U395" s="9">
        <v>5</v>
      </c>
      <c r="V395" s="10">
        <f>Table1[[#This Row],[MARGIN '[€']]]/Table1[[#This Row],[SALES '[€']]]</f>
        <v>0.5</v>
      </c>
      <c r="W395" s="5">
        <v>3800170561</v>
      </c>
      <c r="X395" s="5" t="s">
        <v>958</v>
      </c>
      <c r="Y395" s="4">
        <v>1766</v>
      </c>
      <c r="AA395" t="s">
        <v>73</v>
      </c>
      <c r="AD395">
        <v>12</v>
      </c>
      <c r="AE395" s="3">
        <v>3.6</v>
      </c>
      <c r="AL395" t="s">
        <v>61</v>
      </c>
    </row>
    <row r="396" spans="1:40" x14ac:dyDescent="0.25">
      <c r="A396" s="4">
        <v>34</v>
      </c>
      <c r="B396" t="s">
        <v>333</v>
      </c>
      <c r="C396" t="s">
        <v>49</v>
      </c>
      <c r="D396" s="5" t="s">
        <v>334</v>
      </c>
      <c r="E396" t="s">
        <v>335</v>
      </c>
      <c r="F396" s="6">
        <v>45159</v>
      </c>
      <c r="G396" s="7">
        <v>0.79166666666666696</v>
      </c>
      <c r="H396" t="s">
        <v>138</v>
      </c>
      <c r="I396" s="5">
        <v>38</v>
      </c>
      <c r="J396" t="s">
        <v>576</v>
      </c>
      <c r="K396" s="6">
        <v>45162</v>
      </c>
      <c r="L396" s="23">
        <v>0.29166666666666702</v>
      </c>
      <c r="M396" s="5">
        <v>1002926794</v>
      </c>
      <c r="N396" s="5" t="s">
        <v>337</v>
      </c>
      <c r="O396" s="8" t="s">
        <v>338</v>
      </c>
      <c r="P396" t="s">
        <v>339</v>
      </c>
      <c r="Q396" t="s">
        <v>959</v>
      </c>
      <c r="R396" s="5" t="s">
        <v>960</v>
      </c>
      <c r="S396" s="9">
        <v>10</v>
      </c>
      <c r="T396" s="9">
        <v>5</v>
      </c>
      <c r="U396" s="9">
        <v>5</v>
      </c>
      <c r="V396" s="10">
        <f>Table1[[#This Row],[MARGIN '[€']]]/Table1[[#This Row],[SALES '[€']]]</f>
        <v>0.5</v>
      </c>
      <c r="W396" s="5" t="s">
        <v>961</v>
      </c>
      <c r="X396" s="5" t="s">
        <v>962</v>
      </c>
      <c r="Y396" s="4">
        <v>1637</v>
      </c>
      <c r="Z396" t="s">
        <v>339</v>
      </c>
      <c r="AA396" t="s">
        <v>342</v>
      </c>
      <c r="AL396" t="s">
        <v>61</v>
      </c>
    </row>
    <row r="397" spans="1:40" x14ac:dyDescent="0.25">
      <c r="A397" s="4">
        <v>34</v>
      </c>
      <c r="B397" t="s">
        <v>333</v>
      </c>
      <c r="C397" t="s">
        <v>49</v>
      </c>
      <c r="D397" s="5" t="s">
        <v>334</v>
      </c>
      <c r="E397" t="s">
        <v>335</v>
      </c>
      <c r="F397" s="6">
        <v>45159</v>
      </c>
      <c r="G397" s="7">
        <v>0.25</v>
      </c>
      <c r="H397" t="s">
        <v>384</v>
      </c>
      <c r="I397" s="5">
        <v>29</v>
      </c>
      <c r="J397" t="s">
        <v>386</v>
      </c>
      <c r="K397" s="6">
        <v>45161</v>
      </c>
      <c r="L397" s="23">
        <v>0.375</v>
      </c>
      <c r="M397" s="5">
        <v>1002950405</v>
      </c>
      <c r="N397" s="5" t="s">
        <v>337</v>
      </c>
      <c r="O397" s="8" t="s">
        <v>387</v>
      </c>
      <c r="Q397" t="s">
        <v>963</v>
      </c>
      <c r="R397" s="5" t="s">
        <v>964</v>
      </c>
      <c r="S397" s="9">
        <v>10</v>
      </c>
      <c r="T397" s="9">
        <v>5</v>
      </c>
      <c r="U397" s="9">
        <v>5</v>
      </c>
      <c r="V397" s="10">
        <f>Table1[[#This Row],[MARGIN '[€']]]/Table1[[#This Row],[SALES '[€']]]</f>
        <v>0.5</v>
      </c>
      <c r="W397" s="5">
        <v>9215166767</v>
      </c>
      <c r="X397" s="5" t="s">
        <v>965</v>
      </c>
      <c r="Y397" s="4">
        <v>1233</v>
      </c>
      <c r="AA397" t="s">
        <v>342</v>
      </c>
      <c r="AL397" t="s">
        <v>61</v>
      </c>
    </row>
    <row r="398" spans="1:40" x14ac:dyDescent="0.25">
      <c r="A398" s="4">
        <v>34</v>
      </c>
      <c r="B398" t="s">
        <v>234</v>
      </c>
      <c r="C398" t="s">
        <v>49</v>
      </c>
      <c r="D398" s="5" t="s">
        <v>50</v>
      </c>
      <c r="E398" t="s">
        <v>235</v>
      </c>
      <c r="F398" s="6">
        <v>45159</v>
      </c>
      <c r="G398" s="7">
        <v>0.625</v>
      </c>
      <c r="H398" t="s">
        <v>600</v>
      </c>
      <c r="I398" s="5" t="s">
        <v>601</v>
      </c>
      <c r="J398" t="s">
        <v>602</v>
      </c>
      <c r="K398" s="6">
        <v>45160</v>
      </c>
      <c r="L398" s="23">
        <v>0.70833333333333304</v>
      </c>
      <c r="N398" s="5" t="s">
        <v>142</v>
      </c>
      <c r="O398" s="8" t="s">
        <v>450</v>
      </c>
      <c r="Q398" t="s">
        <v>603</v>
      </c>
      <c r="R398" s="5" t="s">
        <v>604</v>
      </c>
      <c r="S398" s="9">
        <v>10</v>
      </c>
      <c r="T398" s="9">
        <v>5</v>
      </c>
      <c r="U398" s="9">
        <v>5</v>
      </c>
      <c r="V398" s="10">
        <f>Table1[[#This Row],[MARGIN '[€']]]/Table1[[#This Row],[SALES '[€']]]</f>
        <v>0.5</v>
      </c>
      <c r="W398" s="5" t="s">
        <v>966</v>
      </c>
      <c r="X398" s="5" t="s">
        <v>967</v>
      </c>
      <c r="Y398" s="4">
        <v>733</v>
      </c>
      <c r="AA398" t="s">
        <v>163</v>
      </c>
      <c r="AL398" t="s">
        <v>61</v>
      </c>
    </row>
    <row r="399" spans="1:40" x14ac:dyDescent="0.25">
      <c r="A399" s="4">
        <v>34</v>
      </c>
      <c r="B399" t="s">
        <v>607</v>
      </c>
      <c r="C399" t="s">
        <v>138</v>
      </c>
      <c r="D399" s="5" t="s">
        <v>968</v>
      </c>
      <c r="E399" t="s">
        <v>969</v>
      </c>
      <c r="F399" s="6">
        <v>45159</v>
      </c>
      <c r="G399" s="7">
        <v>0.33333333333333298</v>
      </c>
      <c r="H399" t="s">
        <v>49</v>
      </c>
      <c r="I399" s="5" t="s">
        <v>156</v>
      </c>
      <c r="J399" t="s">
        <v>884</v>
      </c>
      <c r="K399" s="6">
        <v>45161</v>
      </c>
      <c r="L399" s="23">
        <v>0.70833333333333304</v>
      </c>
      <c r="N399" s="5" t="s">
        <v>55</v>
      </c>
      <c r="O399" s="8" t="s">
        <v>56</v>
      </c>
      <c r="P399" t="s">
        <v>609</v>
      </c>
      <c r="Q399" t="s">
        <v>610</v>
      </c>
      <c r="R399" s="5" t="s">
        <v>611</v>
      </c>
      <c r="S399" s="9">
        <v>10</v>
      </c>
      <c r="T399" s="9">
        <v>5</v>
      </c>
      <c r="U399" s="9">
        <v>5</v>
      </c>
      <c r="V399" s="10">
        <f>Table1[[#This Row],[MARGIN '[€']]]/Table1[[#This Row],[SALES '[€']]]</f>
        <v>0.5</v>
      </c>
      <c r="W399" s="24"/>
      <c r="X399" s="5" t="s">
        <v>970</v>
      </c>
      <c r="Y399" s="4">
        <v>1544</v>
      </c>
      <c r="Z399">
        <v>181</v>
      </c>
      <c r="AA399" t="s">
        <v>73</v>
      </c>
      <c r="AL399" t="s">
        <v>61</v>
      </c>
      <c r="AN399" t="s">
        <v>613</v>
      </c>
    </row>
    <row r="400" spans="1:40" x14ac:dyDescent="0.25">
      <c r="A400" s="4">
        <v>34</v>
      </c>
      <c r="B400" t="s">
        <v>48</v>
      </c>
      <c r="C400" t="s">
        <v>49</v>
      </c>
      <c r="D400" s="5" t="s">
        <v>50</v>
      </c>
      <c r="E400" t="s">
        <v>51</v>
      </c>
      <c r="F400" s="6">
        <v>45159</v>
      </c>
      <c r="G400" s="7">
        <v>0.29166666666666702</v>
      </c>
      <c r="H400" t="s">
        <v>66</v>
      </c>
      <c r="I400" s="5">
        <v>32</v>
      </c>
      <c r="J400" t="s">
        <v>68</v>
      </c>
      <c r="K400" s="6">
        <v>45159</v>
      </c>
      <c r="L400" s="23">
        <v>0.625</v>
      </c>
      <c r="M400" s="5">
        <v>119890</v>
      </c>
      <c r="N400" s="5" t="s">
        <v>69</v>
      </c>
      <c r="O400" s="8" t="s">
        <v>56</v>
      </c>
      <c r="P400" t="s">
        <v>76</v>
      </c>
      <c r="Q400" t="s">
        <v>971</v>
      </c>
      <c r="R400" s="5" t="s">
        <v>71</v>
      </c>
      <c r="S400" s="9">
        <v>10</v>
      </c>
      <c r="T400" s="9">
        <v>5</v>
      </c>
      <c r="U400" s="9">
        <v>5</v>
      </c>
      <c r="V400" s="10">
        <f>Table1[[#This Row],[MARGIN '[€']]]/Table1[[#This Row],[SALES '[€']]]</f>
        <v>0.5</v>
      </c>
      <c r="W400" s="5" t="s">
        <v>972</v>
      </c>
      <c r="X400" s="5" t="s">
        <v>973</v>
      </c>
      <c r="Y400" s="4">
        <v>316</v>
      </c>
      <c r="Z400" t="s">
        <v>974</v>
      </c>
      <c r="AA400" t="s">
        <v>73</v>
      </c>
      <c r="AL400" t="s">
        <v>61</v>
      </c>
    </row>
    <row r="401" spans="1:38" x14ac:dyDescent="0.25">
      <c r="A401" s="4">
        <v>34</v>
      </c>
      <c r="B401" t="s">
        <v>48</v>
      </c>
      <c r="C401" t="s">
        <v>49</v>
      </c>
      <c r="D401" s="5" t="s">
        <v>50</v>
      </c>
      <c r="E401" t="s">
        <v>51</v>
      </c>
      <c r="F401" s="6">
        <v>45159</v>
      </c>
      <c r="G401" s="7">
        <v>0.14583333333333301</v>
      </c>
      <c r="H401" t="s">
        <v>66</v>
      </c>
      <c r="I401" s="5">
        <v>32</v>
      </c>
      <c r="J401" t="s">
        <v>68</v>
      </c>
      <c r="K401" s="6">
        <v>45159</v>
      </c>
      <c r="L401" s="23">
        <v>0.41666666666666702</v>
      </c>
      <c r="M401" s="5">
        <v>119892</v>
      </c>
      <c r="N401" s="5" t="s">
        <v>69</v>
      </c>
      <c r="O401" s="8" t="s">
        <v>56</v>
      </c>
      <c r="Q401" t="s">
        <v>975</v>
      </c>
      <c r="R401" s="5" t="s">
        <v>71</v>
      </c>
      <c r="S401" s="9">
        <v>10</v>
      </c>
      <c r="T401" s="9">
        <v>5</v>
      </c>
      <c r="U401" s="9">
        <v>5</v>
      </c>
      <c r="V401" s="10">
        <f>Table1[[#This Row],[MARGIN '[€']]]/Table1[[#This Row],[SALES '[€']]]</f>
        <v>0.5</v>
      </c>
      <c r="W401" s="5">
        <v>9215166892</v>
      </c>
      <c r="X401" s="5" t="s">
        <v>976</v>
      </c>
      <c r="Y401" s="4">
        <v>316</v>
      </c>
      <c r="AA401" t="s">
        <v>73</v>
      </c>
      <c r="AL401" t="s">
        <v>61</v>
      </c>
    </row>
    <row r="402" spans="1:38" x14ac:dyDescent="0.25">
      <c r="A402" s="4">
        <v>34</v>
      </c>
      <c r="B402" t="s">
        <v>48</v>
      </c>
      <c r="C402" t="s">
        <v>49</v>
      </c>
      <c r="D402" s="5" t="s">
        <v>50</v>
      </c>
      <c r="E402" t="s">
        <v>51</v>
      </c>
      <c r="F402" s="6">
        <v>45159</v>
      </c>
      <c r="G402" s="7">
        <v>0.27777777777777801</v>
      </c>
      <c r="H402" t="s">
        <v>66</v>
      </c>
      <c r="I402" s="5">
        <v>32</v>
      </c>
      <c r="J402" t="s">
        <v>68</v>
      </c>
      <c r="K402" s="6">
        <v>45159</v>
      </c>
      <c r="L402" s="23">
        <v>0.58333333333333304</v>
      </c>
      <c r="M402" s="5">
        <v>119893</v>
      </c>
      <c r="N402" s="5" t="s">
        <v>69</v>
      </c>
      <c r="O402" s="8" t="s">
        <v>56</v>
      </c>
      <c r="Q402" t="s">
        <v>811</v>
      </c>
      <c r="R402" s="5" t="s">
        <v>71</v>
      </c>
      <c r="S402" s="9">
        <v>10</v>
      </c>
      <c r="T402" s="9">
        <v>5</v>
      </c>
      <c r="U402" s="9">
        <v>5</v>
      </c>
      <c r="V402" s="10">
        <f>Table1[[#This Row],[MARGIN '[€']]]/Table1[[#This Row],[SALES '[€']]]</f>
        <v>0.5</v>
      </c>
      <c r="W402" s="5">
        <v>9215166893</v>
      </c>
      <c r="X402" s="5" t="s">
        <v>977</v>
      </c>
      <c r="Y402" s="4">
        <v>316</v>
      </c>
      <c r="AA402" t="s">
        <v>73</v>
      </c>
      <c r="AL402" t="s">
        <v>61</v>
      </c>
    </row>
    <row r="403" spans="1:38" x14ac:dyDescent="0.25">
      <c r="A403" s="4">
        <v>34</v>
      </c>
      <c r="B403" t="s">
        <v>48</v>
      </c>
      <c r="C403" t="s">
        <v>49</v>
      </c>
      <c r="D403" s="5" t="s">
        <v>50</v>
      </c>
      <c r="E403" t="s">
        <v>51</v>
      </c>
      <c r="F403" s="6">
        <v>45159</v>
      </c>
      <c r="G403" s="7">
        <v>0.63888888888888895</v>
      </c>
      <c r="H403" t="s">
        <v>66</v>
      </c>
      <c r="I403" s="5">
        <v>32</v>
      </c>
      <c r="J403" t="s">
        <v>68</v>
      </c>
      <c r="K403" s="6">
        <v>45159</v>
      </c>
      <c r="L403" s="23">
        <v>0.91666666666666696</v>
      </c>
      <c r="M403" s="5">
        <v>119896</v>
      </c>
      <c r="N403" s="5" t="s">
        <v>69</v>
      </c>
      <c r="O403" s="8" t="s">
        <v>56</v>
      </c>
      <c r="Q403" t="s">
        <v>77</v>
      </c>
      <c r="R403" s="5" t="s">
        <v>71</v>
      </c>
      <c r="S403" s="9">
        <v>10</v>
      </c>
      <c r="T403" s="9">
        <v>5</v>
      </c>
      <c r="U403" s="9">
        <v>5</v>
      </c>
      <c r="V403" s="10">
        <f>Table1[[#This Row],[MARGIN '[€']]]/Table1[[#This Row],[SALES '[€']]]</f>
        <v>0.5</v>
      </c>
      <c r="W403" s="5">
        <v>9215166894</v>
      </c>
      <c r="X403" s="5" t="s">
        <v>978</v>
      </c>
      <c r="Y403" s="4">
        <v>316</v>
      </c>
      <c r="AA403" t="s">
        <v>73</v>
      </c>
      <c r="AL403" t="s">
        <v>61</v>
      </c>
    </row>
    <row r="404" spans="1:38" x14ac:dyDescent="0.25">
      <c r="A404" s="4">
        <v>34</v>
      </c>
      <c r="B404" t="s">
        <v>48</v>
      </c>
      <c r="C404" t="s">
        <v>49</v>
      </c>
      <c r="D404" s="5" t="s">
        <v>50</v>
      </c>
      <c r="E404" t="s">
        <v>51</v>
      </c>
      <c r="F404" s="6">
        <v>45159</v>
      </c>
      <c r="G404" s="7">
        <v>0.65277777777777801</v>
      </c>
      <c r="H404" t="s">
        <v>66</v>
      </c>
      <c r="I404" s="5">
        <v>32</v>
      </c>
      <c r="J404" t="s">
        <v>68</v>
      </c>
      <c r="K404" s="6">
        <v>45160</v>
      </c>
      <c r="L404" s="23">
        <v>8.3333333333333301E-2</v>
      </c>
      <c r="M404" s="5">
        <v>119897</v>
      </c>
      <c r="N404" s="5" t="s">
        <v>69</v>
      </c>
      <c r="O404" s="8" t="s">
        <v>56</v>
      </c>
      <c r="Q404" t="s">
        <v>979</v>
      </c>
      <c r="R404" s="5" t="s">
        <v>71</v>
      </c>
      <c r="S404" s="9">
        <v>10</v>
      </c>
      <c r="T404" s="9">
        <v>5</v>
      </c>
      <c r="U404" s="9">
        <v>5</v>
      </c>
      <c r="V404" s="10">
        <f>Table1[[#This Row],[MARGIN '[€']]]/Table1[[#This Row],[SALES '[€']]]</f>
        <v>0.5</v>
      </c>
      <c r="W404" s="5">
        <v>9215166895</v>
      </c>
      <c r="X404" s="5" t="s">
        <v>980</v>
      </c>
      <c r="Y404" s="4">
        <v>316</v>
      </c>
      <c r="AA404" t="s">
        <v>73</v>
      </c>
      <c r="AL404" t="s">
        <v>61</v>
      </c>
    </row>
    <row r="405" spans="1:38" x14ac:dyDescent="0.25">
      <c r="A405" s="4">
        <v>34</v>
      </c>
      <c r="B405" t="s">
        <v>48</v>
      </c>
      <c r="C405" t="s">
        <v>49</v>
      </c>
      <c r="D405" s="5" t="s">
        <v>50</v>
      </c>
      <c r="E405" t="s">
        <v>51</v>
      </c>
      <c r="F405" s="6">
        <v>45159</v>
      </c>
      <c r="G405" s="7">
        <v>0.66666666666666696</v>
      </c>
      <c r="H405" t="s">
        <v>66</v>
      </c>
      <c r="I405" s="5">
        <v>32</v>
      </c>
      <c r="J405" t="s">
        <v>68</v>
      </c>
      <c r="K405" s="6">
        <v>45160</v>
      </c>
      <c r="L405" s="23">
        <v>0.25</v>
      </c>
      <c r="M405" s="5">
        <v>119898</v>
      </c>
      <c r="N405" s="5" t="s">
        <v>69</v>
      </c>
      <c r="O405" s="8" t="s">
        <v>56</v>
      </c>
      <c r="Q405" t="s">
        <v>981</v>
      </c>
      <c r="R405" s="5" t="s">
        <v>71</v>
      </c>
      <c r="S405" s="9">
        <v>10</v>
      </c>
      <c r="T405" s="9">
        <v>5</v>
      </c>
      <c r="U405" s="9">
        <v>5</v>
      </c>
      <c r="V405" s="10">
        <f>Table1[[#This Row],[MARGIN '[€']]]/Table1[[#This Row],[SALES '[€']]]</f>
        <v>0.5</v>
      </c>
      <c r="W405" s="5">
        <v>9215166896</v>
      </c>
      <c r="X405" s="5" t="s">
        <v>982</v>
      </c>
      <c r="Y405" s="4">
        <v>316</v>
      </c>
      <c r="AA405" t="s">
        <v>73</v>
      </c>
      <c r="AL405" t="s">
        <v>61</v>
      </c>
    </row>
    <row r="406" spans="1:38" x14ac:dyDescent="0.25">
      <c r="A406" s="4">
        <v>34</v>
      </c>
      <c r="B406" t="s">
        <v>48</v>
      </c>
      <c r="C406" t="s">
        <v>49</v>
      </c>
      <c r="D406" s="5" t="s">
        <v>50</v>
      </c>
      <c r="E406" t="s">
        <v>51</v>
      </c>
      <c r="F406" s="6">
        <v>45159</v>
      </c>
      <c r="G406" s="7">
        <v>0.70833333333333304</v>
      </c>
      <c r="H406" t="s">
        <v>66</v>
      </c>
      <c r="I406" s="5">
        <v>32</v>
      </c>
      <c r="J406" t="s">
        <v>68</v>
      </c>
      <c r="K406" s="6">
        <v>45160</v>
      </c>
      <c r="L406" s="23">
        <v>0.41666666666666702</v>
      </c>
      <c r="M406" s="5">
        <v>119899</v>
      </c>
      <c r="N406" s="5" t="s">
        <v>69</v>
      </c>
      <c r="O406" s="8" t="s">
        <v>56</v>
      </c>
      <c r="Q406" t="s">
        <v>181</v>
      </c>
      <c r="R406" s="5" t="s">
        <v>177</v>
      </c>
      <c r="S406" s="9">
        <v>10</v>
      </c>
      <c r="T406" s="9">
        <v>5</v>
      </c>
      <c r="U406" s="9">
        <v>5</v>
      </c>
      <c r="V406" s="10">
        <f>Table1[[#This Row],[MARGIN '[€']]]/Table1[[#This Row],[SALES '[€']]]</f>
        <v>0.5</v>
      </c>
      <c r="W406" s="5">
        <v>9215166904</v>
      </c>
      <c r="X406" s="5" t="s">
        <v>983</v>
      </c>
      <c r="Y406" s="4">
        <v>316</v>
      </c>
      <c r="AA406" t="s">
        <v>73</v>
      </c>
      <c r="AL406" t="s">
        <v>61</v>
      </c>
    </row>
    <row r="407" spans="1:38" x14ac:dyDescent="0.25">
      <c r="A407" s="4">
        <v>34</v>
      </c>
      <c r="B407" t="s">
        <v>48</v>
      </c>
      <c r="C407" t="s">
        <v>49</v>
      </c>
      <c r="D407" s="5" t="s">
        <v>50</v>
      </c>
      <c r="E407" t="s">
        <v>51</v>
      </c>
      <c r="F407" s="6">
        <v>45159</v>
      </c>
      <c r="G407" s="7">
        <v>0.68055555555555503</v>
      </c>
      <c r="H407" t="s">
        <v>66</v>
      </c>
      <c r="I407" s="5">
        <v>32</v>
      </c>
      <c r="J407" t="s">
        <v>68</v>
      </c>
      <c r="K407" s="6">
        <v>45160</v>
      </c>
      <c r="L407" s="23">
        <v>0.5</v>
      </c>
      <c r="M407" s="5">
        <v>119900</v>
      </c>
      <c r="N407" s="5" t="s">
        <v>69</v>
      </c>
      <c r="O407" s="8" t="s">
        <v>56</v>
      </c>
      <c r="Q407" t="s">
        <v>984</v>
      </c>
      <c r="R407" s="5" t="s">
        <v>71</v>
      </c>
      <c r="S407" s="9">
        <v>10</v>
      </c>
      <c r="T407" s="9">
        <v>5</v>
      </c>
      <c r="U407" s="9">
        <v>5</v>
      </c>
      <c r="V407" s="10">
        <f>Table1[[#This Row],[MARGIN '[€']]]/Table1[[#This Row],[SALES '[€']]]</f>
        <v>0.5</v>
      </c>
      <c r="W407" s="5">
        <v>9215166897</v>
      </c>
      <c r="X407" s="5" t="s">
        <v>985</v>
      </c>
      <c r="Y407" s="4">
        <v>316</v>
      </c>
      <c r="AA407" t="s">
        <v>73</v>
      </c>
      <c r="AL407" t="s">
        <v>61</v>
      </c>
    </row>
    <row r="408" spans="1:38" x14ac:dyDescent="0.25">
      <c r="A408" s="4">
        <v>34</v>
      </c>
      <c r="B408" t="s">
        <v>48</v>
      </c>
      <c r="C408" t="s">
        <v>49</v>
      </c>
      <c r="D408" s="5" t="s">
        <v>50</v>
      </c>
      <c r="E408" t="s">
        <v>51</v>
      </c>
      <c r="F408" s="6">
        <v>45159</v>
      </c>
      <c r="G408" s="7">
        <v>0.69444444444444398</v>
      </c>
      <c r="H408" t="s">
        <v>66</v>
      </c>
      <c r="I408" s="5">
        <v>32</v>
      </c>
      <c r="J408" t="s">
        <v>68</v>
      </c>
      <c r="K408" s="6">
        <v>45160</v>
      </c>
      <c r="L408" s="23">
        <v>0.75</v>
      </c>
      <c r="M408" s="5">
        <v>119902</v>
      </c>
      <c r="N408" s="5" t="s">
        <v>69</v>
      </c>
      <c r="O408" s="8" t="s">
        <v>56</v>
      </c>
      <c r="Q408" t="s">
        <v>986</v>
      </c>
      <c r="R408" s="5" t="s">
        <v>71</v>
      </c>
      <c r="S408" s="9">
        <v>10</v>
      </c>
      <c r="T408" s="9">
        <v>5</v>
      </c>
      <c r="U408" s="9">
        <v>5</v>
      </c>
      <c r="V408" s="10">
        <f>Table1[[#This Row],[MARGIN '[€']]]/Table1[[#This Row],[SALES '[€']]]</f>
        <v>0.5</v>
      </c>
      <c r="W408" s="5">
        <v>9215166898</v>
      </c>
      <c r="X408" s="5" t="s">
        <v>987</v>
      </c>
      <c r="Y408" s="4">
        <v>316</v>
      </c>
      <c r="AA408" t="s">
        <v>73</v>
      </c>
      <c r="AL408" t="s">
        <v>61</v>
      </c>
    </row>
    <row r="409" spans="1:38" x14ac:dyDescent="0.25">
      <c r="A409" s="4">
        <v>34</v>
      </c>
      <c r="B409" t="s">
        <v>48</v>
      </c>
      <c r="C409" t="s">
        <v>49</v>
      </c>
      <c r="D409" s="5" t="s">
        <v>102</v>
      </c>
      <c r="E409" t="s">
        <v>103</v>
      </c>
      <c r="F409" s="6">
        <v>45159</v>
      </c>
      <c r="G409" s="7">
        <v>0.65625</v>
      </c>
      <c r="H409" t="s">
        <v>90</v>
      </c>
      <c r="I409" s="5" t="s">
        <v>304</v>
      </c>
      <c r="J409" t="s">
        <v>305</v>
      </c>
      <c r="K409" s="6">
        <v>45160</v>
      </c>
      <c r="L409" s="23">
        <v>0.76041666666666696</v>
      </c>
      <c r="M409" s="5">
        <v>119879</v>
      </c>
      <c r="N409" s="5" t="s">
        <v>55</v>
      </c>
      <c r="O409" s="8" t="s">
        <v>56</v>
      </c>
      <c r="Q409" t="s">
        <v>988</v>
      </c>
      <c r="R409" s="5" t="s">
        <v>344</v>
      </c>
      <c r="S409" s="9">
        <v>10</v>
      </c>
      <c r="T409" s="9">
        <v>5</v>
      </c>
      <c r="U409" s="9">
        <v>5</v>
      </c>
      <c r="V409" s="10">
        <f>Table1[[#This Row],[MARGIN '[€']]]/Table1[[#This Row],[SALES '[€']]]</f>
        <v>0.5</v>
      </c>
      <c r="W409" s="5">
        <v>9215166766</v>
      </c>
      <c r="X409" s="5" t="s">
        <v>989</v>
      </c>
      <c r="Y409" s="4">
        <v>621</v>
      </c>
      <c r="AA409" t="s">
        <v>89</v>
      </c>
      <c r="AL409" t="s">
        <v>61</v>
      </c>
    </row>
    <row r="410" spans="1:38" x14ac:dyDescent="0.25">
      <c r="A410" s="4">
        <v>34</v>
      </c>
      <c r="B410" t="s">
        <v>48</v>
      </c>
      <c r="C410" t="s">
        <v>49</v>
      </c>
      <c r="D410" s="5" t="s">
        <v>50</v>
      </c>
      <c r="E410" t="s">
        <v>51</v>
      </c>
      <c r="F410" s="6">
        <v>45159</v>
      </c>
      <c r="G410" s="7">
        <v>0.125</v>
      </c>
      <c r="H410" t="s">
        <v>52</v>
      </c>
      <c r="I410" s="5">
        <v>23</v>
      </c>
      <c r="J410" t="s">
        <v>85</v>
      </c>
      <c r="K410" s="6">
        <v>45159</v>
      </c>
      <c r="L410" s="23">
        <v>0.33333333333333298</v>
      </c>
      <c r="M410" s="5">
        <v>119940</v>
      </c>
      <c r="N410" s="5" t="s">
        <v>69</v>
      </c>
      <c r="O410" s="8" t="s">
        <v>56</v>
      </c>
      <c r="Q410" t="s">
        <v>369</v>
      </c>
      <c r="R410" s="5" t="s">
        <v>317</v>
      </c>
      <c r="S410" s="9">
        <v>10</v>
      </c>
      <c r="T410" s="9">
        <v>5</v>
      </c>
      <c r="U410" s="9">
        <v>5</v>
      </c>
      <c r="V410" s="10">
        <f>Table1[[#This Row],[MARGIN '[€']]]/Table1[[#This Row],[SALES '[€']]]</f>
        <v>0.5</v>
      </c>
      <c r="W410" s="5">
        <v>9215166753</v>
      </c>
      <c r="X410" s="5" t="s">
        <v>990</v>
      </c>
      <c r="Y410" s="4">
        <v>261</v>
      </c>
      <c r="AA410" t="s">
        <v>89</v>
      </c>
      <c r="AL410" t="s">
        <v>61</v>
      </c>
    </row>
    <row r="411" spans="1:38" x14ac:dyDescent="0.25">
      <c r="A411" s="4">
        <v>34</v>
      </c>
      <c r="B411" t="s">
        <v>48</v>
      </c>
      <c r="C411" t="s">
        <v>49</v>
      </c>
      <c r="D411" s="5" t="s">
        <v>50</v>
      </c>
      <c r="E411" t="s">
        <v>51</v>
      </c>
      <c r="F411" s="6">
        <v>45159</v>
      </c>
      <c r="G411" s="7">
        <v>0.22916666666666699</v>
      </c>
      <c r="H411" t="s">
        <v>52</v>
      </c>
      <c r="I411" s="5">
        <v>23</v>
      </c>
      <c r="J411" t="s">
        <v>85</v>
      </c>
      <c r="K411" s="6">
        <v>45159</v>
      </c>
      <c r="L411" s="23">
        <v>0.41666666666666702</v>
      </c>
      <c r="M411" s="5">
        <v>119941</v>
      </c>
      <c r="N411" s="5" t="s">
        <v>69</v>
      </c>
      <c r="O411" s="8" t="s">
        <v>56</v>
      </c>
      <c r="Q411" t="s">
        <v>628</v>
      </c>
      <c r="R411" s="5" t="s">
        <v>500</v>
      </c>
      <c r="S411" s="9">
        <v>10</v>
      </c>
      <c r="T411" s="9">
        <v>5</v>
      </c>
      <c r="U411" s="9">
        <v>5</v>
      </c>
      <c r="V411" s="10">
        <f>Table1[[#This Row],[MARGIN '[€']]]/Table1[[#This Row],[SALES '[€']]]</f>
        <v>0.5</v>
      </c>
      <c r="W411" s="5">
        <v>9215166761</v>
      </c>
      <c r="X411" s="5" t="s">
        <v>991</v>
      </c>
      <c r="Y411" s="4">
        <v>261</v>
      </c>
      <c r="AA411" t="s">
        <v>89</v>
      </c>
      <c r="AL411" t="s">
        <v>61</v>
      </c>
    </row>
    <row r="412" spans="1:38" x14ac:dyDescent="0.25">
      <c r="A412" s="4">
        <v>34</v>
      </c>
      <c r="B412" t="s">
        <v>48</v>
      </c>
      <c r="C412" t="s">
        <v>49</v>
      </c>
      <c r="D412" s="5" t="s">
        <v>50</v>
      </c>
      <c r="E412" t="s">
        <v>51</v>
      </c>
      <c r="F412" s="6">
        <v>45159</v>
      </c>
      <c r="G412" s="7">
        <v>0.30555555555555503</v>
      </c>
      <c r="H412" t="s">
        <v>52</v>
      </c>
      <c r="I412" s="5">
        <v>23</v>
      </c>
      <c r="J412" t="s">
        <v>85</v>
      </c>
      <c r="K412" s="6">
        <v>45159</v>
      </c>
      <c r="L412" s="23">
        <v>0.58333333333333304</v>
      </c>
      <c r="M412" s="5">
        <v>119943</v>
      </c>
      <c r="N412" s="5" t="s">
        <v>69</v>
      </c>
      <c r="O412" s="8" t="s">
        <v>56</v>
      </c>
      <c r="Q412" t="s">
        <v>992</v>
      </c>
      <c r="R412" s="5" t="s">
        <v>58</v>
      </c>
      <c r="S412" s="9">
        <v>10</v>
      </c>
      <c r="T412" s="9">
        <v>5</v>
      </c>
      <c r="U412" s="9">
        <v>5</v>
      </c>
      <c r="V412" s="10">
        <f>Table1[[#This Row],[MARGIN '[€']]]/Table1[[#This Row],[SALES '[€']]]</f>
        <v>0.5</v>
      </c>
      <c r="W412" s="5">
        <v>9215166788</v>
      </c>
      <c r="X412" s="5" t="s">
        <v>993</v>
      </c>
      <c r="Y412" s="4">
        <v>261</v>
      </c>
      <c r="AA412" t="s">
        <v>89</v>
      </c>
      <c r="AL412" t="s">
        <v>61</v>
      </c>
    </row>
    <row r="413" spans="1:38" x14ac:dyDescent="0.25">
      <c r="A413" s="4">
        <v>34</v>
      </c>
      <c r="B413" t="s">
        <v>48</v>
      </c>
      <c r="C413" t="s">
        <v>49</v>
      </c>
      <c r="D413" s="5" t="s">
        <v>50</v>
      </c>
      <c r="E413" t="s">
        <v>51</v>
      </c>
      <c r="F413" s="6">
        <v>45159</v>
      </c>
      <c r="G413" s="7">
        <v>0.41666666666666702</v>
      </c>
      <c r="H413" t="s">
        <v>52</v>
      </c>
      <c r="I413" s="5">
        <v>23</v>
      </c>
      <c r="J413" t="s">
        <v>85</v>
      </c>
      <c r="K413" s="6">
        <v>45159</v>
      </c>
      <c r="L413" s="23">
        <v>0.66666666666666696</v>
      </c>
      <c r="M413" s="5">
        <v>119944</v>
      </c>
      <c r="N413" s="5" t="s">
        <v>69</v>
      </c>
      <c r="O413" s="8" t="s">
        <v>56</v>
      </c>
      <c r="P413" t="s">
        <v>76</v>
      </c>
      <c r="Q413" t="s">
        <v>86</v>
      </c>
      <c r="R413" s="5" t="s">
        <v>58</v>
      </c>
      <c r="S413" s="9">
        <v>10</v>
      </c>
      <c r="T413" s="9">
        <v>5</v>
      </c>
      <c r="U413" s="9">
        <v>5</v>
      </c>
      <c r="V413" s="10">
        <f>Table1[[#This Row],[MARGIN '[€']]]/Table1[[#This Row],[SALES '[€']]]</f>
        <v>0.5</v>
      </c>
      <c r="W413" s="5" t="s">
        <v>994</v>
      </c>
      <c r="X413" s="5" t="s">
        <v>995</v>
      </c>
      <c r="Y413" s="4">
        <v>261</v>
      </c>
      <c r="AA413" t="s">
        <v>89</v>
      </c>
      <c r="AL413" t="s">
        <v>61</v>
      </c>
    </row>
    <row r="414" spans="1:38" x14ac:dyDescent="0.25">
      <c r="A414" s="4">
        <v>34</v>
      </c>
      <c r="B414" t="s">
        <v>48</v>
      </c>
      <c r="C414" t="s">
        <v>49</v>
      </c>
      <c r="D414" s="5" t="s">
        <v>50</v>
      </c>
      <c r="E414" t="s">
        <v>51</v>
      </c>
      <c r="F414" s="6">
        <v>45159</v>
      </c>
      <c r="G414" s="7">
        <v>0.55555555555555602</v>
      </c>
      <c r="H414" t="s">
        <v>52</v>
      </c>
      <c r="I414" s="5">
        <v>23</v>
      </c>
      <c r="J414" t="s">
        <v>85</v>
      </c>
      <c r="K414" s="6">
        <v>45160</v>
      </c>
      <c r="L414" s="23">
        <v>0.33333333333333298</v>
      </c>
      <c r="M414" s="5">
        <v>119945</v>
      </c>
      <c r="N414" s="5" t="s">
        <v>69</v>
      </c>
      <c r="O414" s="8" t="s">
        <v>56</v>
      </c>
      <c r="Q414" t="s">
        <v>369</v>
      </c>
      <c r="R414" s="5" t="s">
        <v>317</v>
      </c>
      <c r="S414" s="9">
        <v>10</v>
      </c>
      <c r="T414" s="9">
        <v>5</v>
      </c>
      <c r="U414" s="9">
        <v>5</v>
      </c>
      <c r="V414" s="10">
        <f>Table1[[#This Row],[MARGIN '[€']]]/Table1[[#This Row],[SALES '[€']]]</f>
        <v>0.5</v>
      </c>
      <c r="W414" s="5">
        <v>9215166754</v>
      </c>
      <c r="X414" s="5" t="s">
        <v>996</v>
      </c>
      <c r="Y414" s="4">
        <v>261</v>
      </c>
      <c r="AA414" t="s">
        <v>89</v>
      </c>
      <c r="AL414" t="s">
        <v>61</v>
      </c>
    </row>
    <row r="415" spans="1:38" x14ac:dyDescent="0.25">
      <c r="A415" s="4">
        <v>34</v>
      </c>
      <c r="B415" t="s">
        <v>48</v>
      </c>
      <c r="C415" t="s">
        <v>49</v>
      </c>
      <c r="D415" s="5" t="s">
        <v>50</v>
      </c>
      <c r="E415" t="s">
        <v>51</v>
      </c>
      <c r="F415" s="6">
        <v>45159</v>
      </c>
      <c r="G415" s="7">
        <v>0.76388888888888895</v>
      </c>
      <c r="H415" t="s">
        <v>52</v>
      </c>
      <c r="I415" s="5">
        <v>23</v>
      </c>
      <c r="J415" t="s">
        <v>85</v>
      </c>
      <c r="K415" s="6">
        <v>45160</v>
      </c>
      <c r="L415" s="23">
        <v>0.41666666666666702</v>
      </c>
      <c r="M415" s="5">
        <v>119946</v>
      </c>
      <c r="N415" s="5" t="s">
        <v>69</v>
      </c>
      <c r="O415" s="8" t="s">
        <v>56</v>
      </c>
      <c r="Q415" t="s">
        <v>499</v>
      </c>
      <c r="R415" s="5" t="s">
        <v>500</v>
      </c>
      <c r="S415" s="9">
        <v>10</v>
      </c>
      <c r="T415" s="9">
        <v>5</v>
      </c>
      <c r="U415" s="9">
        <v>5</v>
      </c>
      <c r="V415" s="10">
        <f>Table1[[#This Row],[MARGIN '[€']]]/Table1[[#This Row],[SALES '[€']]]</f>
        <v>0.5</v>
      </c>
      <c r="W415" s="5">
        <v>9215166762</v>
      </c>
      <c r="X415" s="5" t="s">
        <v>997</v>
      </c>
      <c r="Y415" s="4">
        <v>261</v>
      </c>
      <c r="AA415" t="s">
        <v>89</v>
      </c>
      <c r="AL415" t="s">
        <v>61</v>
      </c>
    </row>
    <row r="416" spans="1:38" x14ac:dyDescent="0.25">
      <c r="A416" s="4">
        <v>34</v>
      </c>
      <c r="B416" t="s">
        <v>48</v>
      </c>
      <c r="C416" t="s">
        <v>49</v>
      </c>
      <c r="D416" s="5" t="s">
        <v>50</v>
      </c>
      <c r="E416" t="s">
        <v>51</v>
      </c>
      <c r="F416" s="6">
        <v>45159</v>
      </c>
      <c r="G416" s="7">
        <v>0.68055555555555503</v>
      </c>
      <c r="H416" t="s">
        <v>52</v>
      </c>
      <c r="I416" s="5">
        <v>23</v>
      </c>
      <c r="J416" t="s">
        <v>85</v>
      </c>
      <c r="K416" s="6">
        <v>45160</v>
      </c>
      <c r="L416" s="23">
        <v>0.5</v>
      </c>
      <c r="M416" s="5">
        <v>119947</v>
      </c>
      <c r="N416" s="5" t="s">
        <v>69</v>
      </c>
      <c r="O416" s="8" t="s">
        <v>56</v>
      </c>
      <c r="Q416" t="s">
        <v>998</v>
      </c>
      <c r="R416" s="5" t="s">
        <v>831</v>
      </c>
      <c r="S416" s="9">
        <v>10</v>
      </c>
      <c r="T416" s="9">
        <v>5</v>
      </c>
      <c r="U416" s="9">
        <v>5</v>
      </c>
      <c r="V416" s="10">
        <f>Table1[[#This Row],[MARGIN '[€']]]/Table1[[#This Row],[SALES '[€']]]</f>
        <v>0.5</v>
      </c>
      <c r="W416" s="5">
        <v>9215166768</v>
      </c>
      <c r="X416" s="5" t="s">
        <v>999</v>
      </c>
      <c r="Y416" s="4">
        <v>261</v>
      </c>
      <c r="AA416" t="s">
        <v>89</v>
      </c>
      <c r="AL416" t="s">
        <v>61</v>
      </c>
    </row>
    <row r="417" spans="1:38" x14ac:dyDescent="0.25">
      <c r="A417" s="4">
        <v>34</v>
      </c>
      <c r="B417" t="s">
        <v>48</v>
      </c>
      <c r="C417" t="s">
        <v>49</v>
      </c>
      <c r="D417" s="5" t="s">
        <v>50</v>
      </c>
      <c r="E417" t="s">
        <v>51</v>
      </c>
      <c r="F417" s="6">
        <v>45159</v>
      </c>
      <c r="G417" s="7">
        <v>0.16666666666666699</v>
      </c>
      <c r="H417" t="s">
        <v>52</v>
      </c>
      <c r="I417" s="5">
        <v>35</v>
      </c>
      <c r="J417" t="s">
        <v>54</v>
      </c>
      <c r="K417" s="6">
        <v>45159</v>
      </c>
      <c r="L417" s="23">
        <v>0.75</v>
      </c>
      <c r="M417" s="5">
        <v>119986</v>
      </c>
      <c r="N417" s="5" t="s">
        <v>55</v>
      </c>
      <c r="O417" s="8" t="s">
        <v>56</v>
      </c>
      <c r="Q417" t="s">
        <v>62</v>
      </c>
      <c r="R417" s="5" t="s">
        <v>58</v>
      </c>
      <c r="S417" s="9">
        <v>10</v>
      </c>
      <c r="T417" s="9">
        <v>5</v>
      </c>
      <c r="U417" s="9">
        <v>5</v>
      </c>
      <c r="V417" s="10">
        <f>Table1[[#This Row],[MARGIN '[€']]]/Table1[[#This Row],[SALES '[€']]]</f>
        <v>0.5</v>
      </c>
      <c r="W417" s="5">
        <v>9215166793</v>
      </c>
      <c r="X417" s="5" t="s">
        <v>1000</v>
      </c>
      <c r="Y417" s="4">
        <v>82</v>
      </c>
      <c r="AA417" t="s">
        <v>89</v>
      </c>
      <c r="AL417" t="s">
        <v>61</v>
      </c>
    </row>
    <row r="418" spans="1:38" x14ac:dyDescent="0.25">
      <c r="A418" s="4">
        <v>34</v>
      </c>
      <c r="B418" t="s">
        <v>48</v>
      </c>
      <c r="C418" t="s">
        <v>49</v>
      </c>
      <c r="D418" s="5" t="s">
        <v>50</v>
      </c>
      <c r="E418" t="s">
        <v>51</v>
      </c>
      <c r="F418" s="6">
        <v>45159</v>
      </c>
      <c r="G418" s="7">
        <v>0.1875</v>
      </c>
      <c r="H418" t="s">
        <v>52</v>
      </c>
      <c r="I418" s="5">
        <v>35</v>
      </c>
      <c r="J418" t="s">
        <v>54</v>
      </c>
      <c r="K418" s="6">
        <v>45159</v>
      </c>
      <c r="L418" s="23">
        <v>0.75</v>
      </c>
      <c r="M418" s="5">
        <v>119987</v>
      </c>
      <c r="N418" s="5" t="s">
        <v>55</v>
      </c>
      <c r="O418" s="8" t="s">
        <v>56</v>
      </c>
      <c r="Q418" t="s">
        <v>57</v>
      </c>
      <c r="R418" s="5" t="s">
        <v>58</v>
      </c>
      <c r="S418" s="9">
        <v>10</v>
      </c>
      <c r="T418" s="9">
        <v>5</v>
      </c>
      <c r="U418" s="9">
        <v>5</v>
      </c>
      <c r="V418" s="10">
        <f>Table1[[#This Row],[MARGIN '[€']]]/Table1[[#This Row],[SALES '[€']]]</f>
        <v>0.5</v>
      </c>
      <c r="W418" s="5">
        <v>9215166796</v>
      </c>
      <c r="X418" s="5" t="s">
        <v>1001</v>
      </c>
      <c r="Y418" s="4">
        <v>82</v>
      </c>
      <c r="AA418" t="s">
        <v>89</v>
      </c>
      <c r="AL418" t="s">
        <v>61</v>
      </c>
    </row>
    <row r="419" spans="1:38" x14ac:dyDescent="0.25">
      <c r="A419" s="4">
        <v>34</v>
      </c>
      <c r="B419" t="s">
        <v>48</v>
      </c>
      <c r="C419" t="s">
        <v>49</v>
      </c>
      <c r="D419" s="5" t="s">
        <v>50</v>
      </c>
      <c r="E419" t="s">
        <v>51</v>
      </c>
      <c r="F419" s="6">
        <v>45159</v>
      </c>
      <c r="G419" s="7">
        <v>0.20833333333333301</v>
      </c>
      <c r="H419" t="s">
        <v>52</v>
      </c>
      <c r="I419" s="5">
        <v>35</v>
      </c>
      <c r="J419" t="s">
        <v>54</v>
      </c>
      <c r="K419" s="6">
        <v>45159</v>
      </c>
      <c r="L419" s="23">
        <v>0.75</v>
      </c>
      <c r="M419" s="5">
        <v>119988</v>
      </c>
      <c r="N419" s="5" t="s">
        <v>55</v>
      </c>
      <c r="O419" s="8" t="s">
        <v>56</v>
      </c>
      <c r="Q419" t="s">
        <v>64</v>
      </c>
      <c r="R419" s="5" t="s">
        <v>58</v>
      </c>
      <c r="S419" s="9">
        <v>10</v>
      </c>
      <c r="T419" s="9">
        <v>5</v>
      </c>
      <c r="U419" s="9">
        <v>5</v>
      </c>
      <c r="V419" s="10">
        <f>Table1[[#This Row],[MARGIN '[€']]]/Table1[[#This Row],[SALES '[€']]]</f>
        <v>0.5</v>
      </c>
      <c r="W419" s="5">
        <v>9215166799</v>
      </c>
      <c r="X419" s="5" t="s">
        <v>1002</v>
      </c>
      <c r="Y419" s="4">
        <v>82</v>
      </c>
      <c r="AA419" t="s">
        <v>89</v>
      </c>
      <c r="AL419" t="s">
        <v>61</v>
      </c>
    </row>
    <row r="420" spans="1:38" x14ac:dyDescent="0.25">
      <c r="A420" s="4">
        <v>34</v>
      </c>
      <c r="B420" t="s">
        <v>48</v>
      </c>
      <c r="C420" t="s">
        <v>49</v>
      </c>
      <c r="D420" s="5" t="s">
        <v>50</v>
      </c>
      <c r="E420" t="s">
        <v>51</v>
      </c>
      <c r="F420" s="6">
        <v>45159</v>
      </c>
      <c r="G420" s="7">
        <v>0.33333333333333298</v>
      </c>
      <c r="H420" t="s">
        <v>52</v>
      </c>
      <c r="I420" s="5">
        <v>35</v>
      </c>
      <c r="J420" t="s">
        <v>54</v>
      </c>
      <c r="K420" s="6">
        <v>45159</v>
      </c>
      <c r="L420" s="23">
        <v>0.75</v>
      </c>
      <c r="M420" s="5">
        <v>119989</v>
      </c>
      <c r="N420" s="5" t="s">
        <v>55</v>
      </c>
      <c r="O420" s="8" t="s">
        <v>56</v>
      </c>
      <c r="Q420" t="s">
        <v>62</v>
      </c>
      <c r="R420" s="5" t="s">
        <v>58</v>
      </c>
      <c r="S420" s="9">
        <v>10</v>
      </c>
      <c r="T420" s="9">
        <v>5</v>
      </c>
      <c r="U420" s="9">
        <v>5</v>
      </c>
      <c r="V420" s="10">
        <f>Table1[[#This Row],[MARGIN '[€']]]/Table1[[#This Row],[SALES '[€']]]</f>
        <v>0.5</v>
      </c>
      <c r="W420" s="5">
        <v>9215166794</v>
      </c>
      <c r="X420" s="5" t="s">
        <v>1000</v>
      </c>
      <c r="Y420" s="4">
        <v>82</v>
      </c>
      <c r="AA420" t="s">
        <v>89</v>
      </c>
      <c r="AL420" t="s">
        <v>61</v>
      </c>
    </row>
    <row r="421" spans="1:38" x14ac:dyDescent="0.25">
      <c r="A421" s="4">
        <v>34</v>
      </c>
      <c r="B421" t="s">
        <v>48</v>
      </c>
      <c r="C421" t="s">
        <v>49</v>
      </c>
      <c r="D421" s="5" t="s">
        <v>50</v>
      </c>
      <c r="E421" t="s">
        <v>51</v>
      </c>
      <c r="F421" s="6">
        <v>45159</v>
      </c>
      <c r="G421" s="7">
        <v>0.34722222222222199</v>
      </c>
      <c r="H421" t="s">
        <v>52</v>
      </c>
      <c r="I421" s="5">
        <v>35</v>
      </c>
      <c r="J421" t="s">
        <v>54</v>
      </c>
      <c r="K421" s="6">
        <v>45159</v>
      </c>
      <c r="L421" s="23">
        <v>0.75</v>
      </c>
      <c r="M421" s="5">
        <v>119990</v>
      </c>
      <c r="N421" s="5" t="s">
        <v>55</v>
      </c>
      <c r="O421" s="8" t="s">
        <v>56</v>
      </c>
      <c r="Q421" t="s">
        <v>57</v>
      </c>
      <c r="R421" s="5" t="s">
        <v>58</v>
      </c>
      <c r="S421" s="9">
        <v>10</v>
      </c>
      <c r="T421" s="9">
        <v>5</v>
      </c>
      <c r="U421" s="9">
        <v>5</v>
      </c>
      <c r="V421" s="10">
        <f>Table1[[#This Row],[MARGIN '[€']]]/Table1[[#This Row],[SALES '[€']]]</f>
        <v>0.5</v>
      </c>
      <c r="W421" s="5">
        <v>9215166797</v>
      </c>
      <c r="X421" s="5" t="s">
        <v>1001</v>
      </c>
      <c r="Y421" s="4">
        <v>82</v>
      </c>
      <c r="AA421" t="s">
        <v>89</v>
      </c>
      <c r="AL421" t="s">
        <v>61</v>
      </c>
    </row>
    <row r="422" spans="1:38" x14ac:dyDescent="0.25">
      <c r="A422" s="4">
        <v>34</v>
      </c>
      <c r="B422" t="s">
        <v>48</v>
      </c>
      <c r="C422" t="s">
        <v>49</v>
      </c>
      <c r="D422" s="5" t="s">
        <v>50</v>
      </c>
      <c r="E422" t="s">
        <v>51</v>
      </c>
      <c r="F422" s="6">
        <v>45159</v>
      </c>
      <c r="G422" s="7">
        <v>0.36111111111111099</v>
      </c>
      <c r="H422" t="s">
        <v>52</v>
      </c>
      <c r="I422" s="5">
        <v>35</v>
      </c>
      <c r="J422" t="s">
        <v>54</v>
      </c>
      <c r="K422" s="6">
        <v>45159</v>
      </c>
      <c r="L422" s="23">
        <v>0.75</v>
      </c>
      <c r="M422" s="5">
        <v>119991</v>
      </c>
      <c r="N422" s="5" t="s">
        <v>55</v>
      </c>
      <c r="O422" s="8" t="s">
        <v>56</v>
      </c>
      <c r="Q422" t="s">
        <v>64</v>
      </c>
      <c r="R422" s="5" t="s">
        <v>58</v>
      </c>
      <c r="S422" s="9">
        <v>10</v>
      </c>
      <c r="T422" s="9">
        <v>5</v>
      </c>
      <c r="U422" s="9">
        <v>5</v>
      </c>
      <c r="V422" s="10">
        <f>Table1[[#This Row],[MARGIN '[€']]]/Table1[[#This Row],[SALES '[€']]]</f>
        <v>0.5</v>
      </c>
      <c r="W422" s="5">
        <v>9215166800</v>
      </c>
      <c r="X422" s="5" t="s">
        <v>1002</v>
      </c>
      <c r="Y422" s="4">
        <v>82</v>
      </c>
      <c r="AA422" t="s">
        <v>89</v>
      </c>
      <c r="AL422" t="s">
        <v>61</v>
      </c>
    </row>
    <row r="423" spans="1:38" x14ac:dyDescent="0.25">
      <c r="A423" s="4">
        <v>34</v>
      </c>
      <c r="B423" t="s">
        <v>48</v>
      </c>
      <c r="C423" t="s">
        <v>49</v>
      </c>
      <c r="D423" s="5" t="s">
        <v>50</v>
      </c>
      <c r="E423" t="s">
        <v>51</v>
      </c>
      <c r="F423" s="6">
        <v>45159</v>
      </c>
      <c r="G423" s="7">
        <v>0.47222222222222199</v>
      </c>
      <c r="H423" t="s">
        <v>52</v>
      </c>
      <c r="I423" s="5">
        <v>35</v>
      </c>
      <c r="J423" t="s">
        <v>54</v>
      </c>
      <c r="K423" s="6">
        <v>45159</v>
      </c>
      <c r="L423" s="23">
        <v>0.75</v>
      </c>
      <c r="M423" s="5">
        <v>119992</v>
      </c>
      <c r="N423" s="5" t="s">
        <v>55</v>
      </c>
      <c r="O423" s="8" t="s">
        <v>56</v>
      </c>
      <c r="Q423" t="s">
        <v>62</v>
      </c>
      <c r="R423" s="5" t="s">
        <v>58</v>
      </c>
      <c r="S423" s="9">
        <v>10</v>
      </c>
      <c r="T423" s="9">
        <v>5</v>
      </c>
      <c r="U423" s="9">
        <v>5</v>
      </c>
      <c r="V423" s="10">
        <f>Table1[[#This Row],[MARGIN '[€']]]/Table1[[#This Row],[SALES '[€']]]</f>
        <v>0.5</v>
      </c>
      <c r="W423" s="5">
        <v>9215166795</v>
      </c>
      <c r="X423" s="5" t="s">
        <v>1000</v>
      </c>
      <c r="Y423" s="4">
        <v>82</v>
      </c>
      <c r="AA423" t="s">
        <v>89</v>
      </c>
      <c r="AL423" t="s">
        <v>61</v>
      </c>
    </row>
    <row r="424" spans="1:38" x14ac:dyDescent="0.25">
      <c r="A424" s="4">
        <v>34</v>
      </c>
      <c r="B424" t="s">
        <v>48</v>
      </c>
      <c r="C424" t="s">
        <v>49</v>
      </c>
      <c r="D424" s="5" t="s">
        <v>50</v>
      </c>
      <c r="E424" t="s">
        <v>51</v>
      </c>
      <c r="F424" s="6">
        <v>45159</v>
      </c>
      <c r="G424" s="7">
        <v>0.48611111111111099</v>
      </c>
      <c r="H424" t="s">
        <v>52</v>
      </c>
      <c r="I424" s="5">
        <v>35</v>
      </c>
      <c r="J424" t="s">
        <v>54</v>
      </c>
      <c r="K424" s="6">
        <v>45159</v>
      </c>
      <c r="L424" s="23">
        <v>0.75</v>
      </c>
      <c r="M424" s="5">
        <v>119993</v>
      </c>
      <c r="N424" s="5" t="s">
        <v>55</v>
      </c>
      <c r="O424" s="8" t="s">
        <v>56</v>
      </c>
      <c r="Q424" t="s">
        <v>57</v>
      </c>
      <c r="R424" s="5" t="s">
        <v>58</v>
      </c>
      <c r="S424" s="9">
        <v>10</v>
      </c>
      <c r="T424" s="9">
        <v>5</v>
      </c>
      <c r="U424" s="9">
        <v>5</v>
      </c>
      <c r="V424" s="10">
        <f>Table1[[#This Row],[MARGIN '[€']]]/Table1[[#This Row],[SALES '[€']]]</f>
        <v>0.5</v>
      </c>
      <c r="W424" s="5">
        <v>9215166798</v>
      </c>
      <c r="X424" s="5" t="s">
        <v>1001</v>
      </c>
      <c r="Y424" s="4">
        <v>82</v>
      </c>
      <c r="AA424" t="s">
        <v>89</v>
      </c>
      <c r="AL424" t="s">
        <v>61</v>
      </c>
    </row>
    <row r="425" spans="1:38" x14ac:dyDescent="0.25">
      <c r="A425" s="4">
        <v>34</v>
      </c>
      <c r="B425" t="s">
        <v>48</v>
      </c>
      <c r="C425" t="s">
        <v>49</v>
      </c>
      <c r="D425" s="5" t="s">
        <v>50</v>
      </c>
      <c r="E425" t="s">
        <v>51</v>
      </c>
      <c r="F425" s="6">
        <v>45159</v>
      </c>
      <c r="G425" s="7">
        <v>0.5</v>
      </c>
      <c r="H425" t="s">
        <v>52</v>
      </c>
      <c r="I425" s="5">
        <v>35</v>
      </c>
      <c r="J425" t="s">
        <v>54</v>
      </c>
      <c r="K425" s="6">
        <v>45159</v>
      </c>
      <c r="L425" s="23">
        <v>0.75</v>
      </c>
      <c r="M425" s="5">
        <v>119994</v>
      </c>
      <c r="N425" s="5" t="s">
        <v>55</v>
      </c>
      <c r="O425" s="8" t="s">
        <v>56</v>
      </c>
      <c r="Q425" t="s">
        <v>64</v>
      </c>
      <c r="R425" s="5" t="s">
        <v>58</v>
      </c>
      <c r="S425" s="9">
        <v>10</v>
      </c>
      <c r="T425" s="9">
        <v>5</v>
      </c>
      <c r="U425" s="9">
        <v>5</v>
      </c>
      <c r="V425" s="10">
        <f>Table1[[#This Row],[MARGIN '[€']]]/Table1[[#This Row],[SALES '[€']]]</f>
        <v>0.5</v>
      </c>
      <c r="W425" s="5">
        <v>9215166801</v>
      </c>
      <c r="X425" s="5" t="s">
        <v>1002</v>
      </c>
      <c r="Y425" s="4">
        <v>82</v>
      </c>
      <c r="AA425" t="s">
        <v>89</v>
      </c>
      <c r="AL425" t="s">
        <v>61</v>
      </c>
    </row>
    <row r="426" spans="1:38" x14ac:dyDescent="0.25">
      <c r="A426" s="4">
        <v>34</v>
      </c>
      <c r="B426" t="s">
        <v>48</v>
      </c>
      <c r="C426" t="s">
        <v>49</v>
      </c>
      <c r="D426" s="5" t="s">
        <v>102</v>
      </c>
      <c r="E426" t="s">
        <v>103</v>
      </c>
      <c r="F426" s="6">
        <v>45159</v>
      </c>
      <c r="G426" s="7">
        <v>0.25</v>
      </c>
      <c r="H426" t="s">
        <v>49</v>
      </c>
      <c r="I426" s="5">
        <v>94</v>
      </c>
      <c r="J426" t="s">
        <v>110</v>
      </c>
      <c r="K426" s="6">
        <v>45159</v>
      </c>
      <c r="L426" s="23">
        <v>0.58333333333333304</v>
      </c>
      <c r="M426" s="5">
        <v>120027</v>
      </c>
      <c r="N426" s="5" t="s">
        <v>69</v>
      </c>
      <c r="O426" s="8" t="s">
        <v>56</v>
      </c>
      <c r="Q426" t="s">
        <v>1003</v>
      </c>
      <c r="R426" s="5" t="s">
        <v>98</v>
      </c>
      <c r="S426" s="9">
        <v>10</v>
      </c>
      <c r="T426" s="9">
        <v>5</v>
      </c>
      <c r="U426" s="9">
        <v>5</v>
      </c>
      <c r="V426" s="10">
        <f>Table1[[#This Row],[MARGIN '[€']]]/Table1[[#This Row],[SALES '[€']]]</f>
        <v>0.5</v>
      </c>
      <c r="W426" s="5">
        <v>9215166770</v>
      </c>
      <c r="X426" s="5" t="s">
        <v>1004</v>
      </c>
      <c r="Y426" s="4">
        <v>345</v>
      </c>
      <c r="AA426" t="s">
        <v>89</v>
      </c>
      <c r="AL426" t="s">
        <v>61</v>
      </c>
    </row>
    <row r="427" spans="1:38" x14ac:dyDescent="0.25">
      <c r="A427" s="4">
        <v>34</v>
      </c>
      <c r="B427" t="s">
        <v>48</v>
      </c>
      <c r="C427" t="s">
        <v>49</v>
      </c>
      <c r="D427" s="5" t="s">
        <v>102</v>
      </c>
      <c r="E427" t="s">
        <v>103</v>
      </c>
      <c r="F427" s="6">
        <v>45159</v>
      </c>
      <c r="G427" s="7">
        <v>0.59375</v>
      </c>
      <c r="H427" t="s">
        <v>49</v>
      </c>
      <c r="I427" s="5">
        <v>94</v>
      </c>
      <c r="J427" t="s">
        <v>110</v>
      </c>
      <c r="K427" s="6">
        <v>45160</v>
      </c>
      <c r="L427" s="23">
        <v>0.29166666666666702</v>
      </c>
      <c r="M427" s="5">
        <v>120028</v>
      </c>
      <c r="N427" s="5" t="s">
        <v>69</v>
      </c>
      <c r="O427" s="8" t="s">
        <v>56</v>
      </c>
      <c r="Q427" t="s">
        <v>265</v>
      </c>
      <c r="R427" s="5" t="s">
        <v>266</v>
      </c>
      <c r="S427" s="9">
        <v>10</v>
      </c>
      <c r="T427" s="9">
        <v>5</v>
      </c>
      <c r="U427" s="9">
        <v>5</v>
      </c>
      <c r="V427" s="10">
        <f>Table1[[#This Row],[MARGIN '[€']]]/Table1[[#This Row],[SALES '[€']]]</f>
        <v>0.5</v>
      </c>
      <c r="W427" s="5">
        <v>9215166782</v>
      </c>
      <c r="X427" s="5" t="s">
        <v>1005</v>
      </c>
      <c r="Y427" s="4">
        <v>345</v>
      </c>
      <c r="AA427" t="s">
        <v>89</v>
      </c>
      <c r="AL427" t="s">
        <v>61</v>
      </c>
    </row>
    <row r="428" spans="1:38" x14ac:dyDescent="0.25">
      <c r="A428" s="4">
        <v>34</v>
      </c>
      <c r="B428" t="s">
        <v>48</v>
      </c>
      <c r="C428" t="s">
        <v>49</v>
      </c>
      <c r="D428" s="5" t="s">
        <v>102</v>
      </c>
      <c r="E428" t="s">
        <v>103</v>
      </c>
      <c r="F428" s="6">
        <v>45159</v>
      </c>
      <c r="G428" s="7">
        <v>0.53125</v>
      </c>
      <c r="H428" t="s">
        <v>49</v>
      </c>
      <c r="I428" s="5">
        <v>94</v>
      </c>
      <c r="J428" t="s">
        <v>110</v>
      </c>
      <c r="K428" s="6">
        <v>45160</v>
      </c>
      <c r="L428" s="23">
        <v>0.41666666666666702</v>
      </c>
      <c r="M428" s="5">
        <v>120029</v>
      </c>
      <c r="N428" s="5" t="s">
        <v>69</v>
      </c>
      <c r="O428" s="8" t="s">
        <v>56</v>
      </c>
      <c r="Q428" t="s">
        <v>1006</v>
      </c>
      <c r="R428" s="5" t="s">
        <v>94</v>
      </c>
      <c r="S428" s="9">
        <v>10</v>
      </c>
      <c r="T428" s="9">
        <v>5</v>
      </c>
      <c r="U428" s="9">
        <v>5</v>
      </c>
      <c r="V428" s="10">
        <f>Table1[[#This Row],[MARGIN '[€']]]/Table1[[#This Row],[SALES '[€']]]</f>
        <v>0.5</v>
      </c>
      <c r="W428" s="5">
        <v>9215166781</v>
      </c>
      <c r="X428" s="5" t="s">
        <v>1007</v>
      </c>
      <c r="Y428" s="4">
        <v>345</v>
      </c>
      <c r="AA428" t="s">
        <v>89</v>
      </c>
      <c r="AL428" t="s">
        <v>61</v>
      </c>
    </row>
    <row r="429" spans="1:38" x14ac:dyDescent="0.25">
      <c r="A429" s="4">
        <v>34</v>
      </c>
      <c r="B429" t="s">
        <v>48</v>
      </c>
      <c r="C429" t="s">
        <v>49</v>
      </c>
      <c r="D429" s="5" t="s">
        <v>102</v>
      </c>
      <c r="E429" t="s">
        <v>103</v>
      </c>
      <c r="F429" s="6">
        <v>45159</v>
      </c>
      <c r="G429" s="7">
        <v>0.5</v>
      </c>
      <c r="H429" t="s">
        <v>49</v>
      </c>
      <c r="I429" s="5">
        <v>94</v>
      </c>
      <c r="J429" t="s">
        <v>110</v>
      </c>
      <c r="K429" s="6">
        <v>45160</v>
      </c>
      <c r="L429" s="23">
        <v>0.45833333333333298</v>
      </c>
      <c r="M429" s="5">
        <v>120030</v>
      </c>
      <c r="N429" s="5" t="s">
        <v>69</v>
      </c>
      <c r="O429" s="8" t="s">
        <v>56</v>
      </c>
      <c r="Q429" t="s">
        <v>682</v>
      </c>
      <c r="R429" s="5" t="s">
        <v>683</v>
      </c>
      <c r="S429" s="9">
        <v>10</v>
      </c>
      <c r="T429" s="9">
        <v>5</v>
      </c>
      <c r="U429" s="9">
        <v>5</v>
      </c>
      <c r="V429" s="10">
        <f>Table1[[#This Row],[MARGIN '[€']]]/Table1[[#This Row],[SALES '[€']]]</f>
        <v>0.5</v>
      </c>
      <c r="W429" s="5">
        <v>9215166739</v>
      </c>
      <c r="X429" s="5" t="s">
        <v>1008</v>
      </c>
      <c r="Y429" s="4">
        <v>345</v>
      </c>
      <c r="AA429" t="s">
        <v>89</v>
      </c>
      <c r="AL429" t="s">
        <v>61</v>
      </c>
    </row>
    <row r="430" spans="1:38" x14ac:dyDescent="0.25">
      <c r="A430" s="4">
        <v>34</v>
      </c>
      <c r="B430" t="s">
        <v>48</v>
      </c>
      <c r="C430" t="s">
        <v>49</v>
      </c>
      <c r="D430" s="5" t="s">
        <v>102</v>
      </c>
      <c r="E430" t="s">
        <v>103</v>
      </c>
      <c r="F430" s="6">
        <v>45159</v>
      </c>
      <c r="G430" s="7">
        <v>0.4375</v>
      </c>
      <c r="H430" t="s">
        <v>49</v>
      </c>
      <c r="I430" s="5">
        <v>94</v>
      </c>
      <c r="J430" t="s">
        <v>110</v>
      </c>
      <c r="K430" s="6">
        <v>45160</v>
      </c>
      <c r="L430" s="23">
        <v>0.54166666666666696</v>
      </c>
      <c r="M430" s="5">
        <v>120031</v>
      </c>
      <c r="N430" s="5" t="s">
        <v>69</v>
      </c>
      <c r="O430" s="8" t="s">
        <v>56</v>
      </c>
      <c r="Q430" t="s">
        <v>1009</v>
      </c>
      <c r="R430" s="5" t="s">
        <v>98</v>
      </c>
      <c r="S430" s="9">
        <v>10</v>
      </c>
      <c r="T430" s="9">
        <v>5</v>
      </c>
      <c r="U430" s="9">
        <v>5</v>
      </c>
      <c r="V430" s="10">
        <f>Table1[[#This Row],[MARGIN '[€']]]/Table1[[#This Row],[SALES '[€']]]</f>
        <v>0.5</v>
      </c>
      <c r="W430" s="5">
        <v>9215166792</v>
      </c>
      <c r="X430" s="5" t="s">
        <v>1010</v>
      </c>
      <c r="Y430" s="4">
        <v>345</v>
      </c>
      <c r="AA430" t="s">
        <v>89</v>
      </c>
      <c r="AL430" t="s">
        <v>61</v>
      </c>
    </row>
    <row r="431" spans="1:38" x14ac:dyDescent="0.25">
      <c r="A431" s="4">
        <v>34</v>
      </c>
      <c r="B431" t="s">
        <v>48</v>
      </c>
      <c r="C431" t="s">
        <v>49</v>
      </c>
      <c r="D431" s="5" t="s">
        <v>50</v>
      </c>
      <c r="E431" t="s">
        <v>51</v>
      </c>
      <c r="F431" s="6">
        <v>45159</v>
      </c>
      <c r="G431" s="7">
        <v>0.375</v>
      </c>
      <c r="H431" t="s">
        <v>90</v>
      </c>
      <c r="I431" s="5">
        <v>24</v>
      </c>
      <c r="J431" t="s">
        <v>92</v>
      </c>
      <c r="K431" s="6">
        <v>45159</v>
      </c>
      <c r="L431" s="23">
        <v>0.70833333333333304</v>
      </c>
      <c r="M431" s="5">
        <v>120053</v>
      </c>
      <c r="N431" s="5" t="s">
        <v>69</v>
      </c>
      <c r="O431" s="8" t="s">
        <v>56</v>
      </c>
      <c r="Q431" t="s">
        <v>117</v>
      </c>
      <c r="R431" s="5" t="s">
        <v>118</v>
      </c>
      <c r="S431" s="9">
        <v>10</v>
      </c>
      <c r="T431" s="9">
        <v>5</v>
      </c>
      <c r="U431" s="9">
        <v>5</v>
      </c>
      <c r="V431" s="10">
        <f>Table1[[#This Row],[MARGIN '[€']]]/Table1[[#This Row],[SALES '[€']]]</f>
        <v>0.5</v>
      </c>
      <c r="W431" s="5" t="s">
        <v>1011</v>
      </c>
      <c r="X431" s="5" t="s">
        <v>1012</v>
      </c>
      <c r="Y431" s="4">
        <v>441</v>
      </c>
      <c r="Z431" t="s">
        <v>1013</v>
      </c>
      <c r="AA431" t="s">
        <v>89</v>
      </c>
      <c r="AL431" t="s">
        <v>61</v>
      </c>
    </row>
    <row r="432" spans="1:38" x14ac:dyDescent="0.25">
      <c r="A432" s="4">
        <v>34</v>
      </c>
      <c r="B432" t="s">
        <v>48</v>
      </c>
      <c r="C432" t="s">
        <v>49</v>
      </c>
      <c r="D432" s="5" t="s">
        <v>50</v>
      </c>
      <c r="E432" t="s">
        <v>51</v>
      </c>
      <c r="F432" s="6">
        <v>45159</v>
      </c>
      <c r="G432" s="7">
        <v>0.31944444444444398</v>
      </c>
      <c r="H432" t="s">
        <v>90</v>
      </c>
      <c r="I432" s="5">
        <v>24</v>
      </c>
      <c r="J432" t="s">
        <v>92</v>
      </c>
      <c r="K432" s="6">
        <v>45159</v>
      </c>
      <c r="L432" s="23">
        <v>0.77083333333333304</v>
      </c>
      <c r="M432" s="5">
        <v>120054</v>
      </c>
      <c r="N432" s="5" t="s">
        <v>69</v>
      </c>
      <c r="O432" s="8" t="s">
        <v>56</v>
      </c>
      <c r="Q432" t="s">
        <v>614</v>
      </c>
      <c r="R432" s="5" t="s">
        <v>615</v>
      </c>
      <c r="S432" s="9">
        <v>10</v>
      </c>
      <c r="T432" s="9">
        <v>5</v>
      </c>
      <c r="U432" s="9">
        <v>5</v>
      </c>
      <c r="V432" s="10">
        <f>Table1[[#This Row],[MARGIN '[€']]]/Table1[[#This Row],[SALES '[€']]]</f>
        <v>0.5</v>
      </c>
      <c r="W432" s="5">
        <v>9215166773</v>
      </c>
      <c r="X432" s="5" t="s">
        <v>1014</v>
      </c>
      <c r="Y432" s="4">
        <v>441</v>
      </c>
      <c r="Z432" t="s">
        <v>1015</v>
      </c>
      <c r="AA432" t="s">
        <v>89</v>
      </c>
      <c r="AL432" t="s">
        <v>61</v>
      </c>
    </row>
    <row r="433" spans="1:40" x14ac:dyDescent="0.25">
      <c r="A433" s="4">
        <v>34</v>
      </c>
      <c r="B433" t="s">
        <v>48</v>
      </c>
      <c r="C433" t="s">
        <v>49</v>
      </c>
      <c r="D433" s="5" t="s">
        <v>50</v>
      </c>
      <c r="E433" t="s">
        <v>51</v>
      </c>
      <c r="F433" s="6">
        <v>45159</v>
      </c>
      <c r="H433" t="s">
        <v>90</v>
      </c>
      <c r="I433" s="5">
        <v>24</v>
      </c>
      <c r="J433" t="s">
        <v>92</v>
      </c>
      <c r="K433" s="6">
        <v>45160</v>
      </c>
      <c r="L433" s="23" t="s">
        <v>210</v>
      </c>
      <c r="M433" s="5">
        <v>120056</v>
      </c>
      <c r="N433" s="5" t="s">
        <v>69</v>
      </c>
      <c r="O433" s="8" t="s">
        <v>56</v>
      </c>
      <c r="R433" s="5" t="s">
        <v>98</v>
      </c>
      <c r="S433" s="9">
        <v>10</v>
      </c>
      <c r="T433" s="9">
        <v>5</v>
      </c>
      <c r="U433" s="9">
        <v>5</v>
      </c>
      <c r="V433" s="10">
        <f>Table1[[#This Row],[MARGIN '[€']]]/Table1[[#This Row],[SALES '[€']]]</f>
        <v>0.5</v>
      </c>
      <c r="Y433" s="4">
        <v>441</v>
      </c>
      <c r="Z433" t="s">
        <v>1016</v>
      </c>
      <c r="AA433" t="s">
        <v>89</v>
      </c>
      <c r="AL433" t="s">
        <v>214</v>
      </c>
    </row>
    <row r="434" spans="1:40" x14ac:dyDescent="0.25">
      <c r="A434" s="4">
        <v>34</v>
      </c>
      <c r="B434" t="s">
        <v>137</v>
      </c>
      <c r="C434" t="s">
        <v>52</v>
      </c>
      <c r="D434" s="5" t="s">
        <v>53</v>
      </c>
      <c r="E434" t="s">
        <v>54</v>
      </c>
      <c r="F434" s="6">
        <v>45159</v>
      </c>
      <c r="G434" s="7">
        <v>0.16666666666666699</v>
      </c>
      <c r="H434" t="s">
        <v>49</v>
      </c>
      <c r="I434" s="5" t="s">
        <v>50</v>
      </c>
      <c r="J434" t="s">
        <v>51</v>
      </c>
      <c r="K434" s="6">
        <v>45162</v>
      </c>
      <c r="L434" s="23">
        <v>0.75</v>
      </c>
      <c r="M434" s="5" t="s">
        <v>1017</v>
      </c>
      <c r="N434" s="5" t="s">
        <v>55</v>
      </c>
      <c r="O434" s="8" t="s">
        <v>56</v>
      </c>
      <c r="P434" t="s">
        <v>76</v>
      </c>
      <c r="Q434" t="s">
        <v>57</v>
      </c>
      <c r="R434" s="5" t="s">
        <v>58</v>
      </c>
      <c r="S434" s="9">
        <v>10</v>
      </c>
      <c r="T434" s="9">
        <v>5</v>
      </c>
      <c r="U434" s="9">
        <v>5</v>
      </c>
      <c r="V434" s="10">
        <f>Table1[[#This Row],[MARGIN '[€']]]/Table1[[#This Row],[SALES '[€']]]</f>
        <v>0.5</v>
      </c>
      <c r="W434" s="5">
        <v>9215166827</v>
      </c>
      <c r="X434" s="5" t="s">
        <v>1018</v>
      </c>
      <c r="Y434" s="4">
        <v>82</v>
      </c>
      <c r="AA434" t="s">
        <v>89</v>
      </c>
      <c r="AL434" t="s">
        <v>61</v>
      </c>
    </row>
    <row r="435" spans="1:40" x14ac:dyDescent="0.25">
      <c r="A435" s="4">
        <v>34</v>
      </c>
      <c r="B435" t="s">
        <v>137</v>
      </c>
      <c r="C435" t="s">
        <v>52</v>
      </c>
      <c r="D435" s="5" t="s">
        <v>53</v>
      </c>
      <c r="E435" t="s">
        <v>54</v>
      </c>
      <c r="F435" s="6">
        <v>45159</v>
      </c>
      <c r="G435" s="7">
        <v>0.16666666666666699</v>
      </c>
      <c r="H435" t="s">
        <v>49</v>
      </c>
      <c r="I435" s="5" t="s">
        <v>50</v>
      </c>
      <c r="J435" t="s">
        <v>51</v>
      </c>
      <c r="K435" s="6">
        <v>45162</v>
      </c>
      <c r="L435" s="23">
        <v>0.75</v>
      </c>
      <c r="M435" s="5" t="s">
        <v>1019</v>
      </c>
      <c r="N435" s="5" t="s">
        <v>55</v>
      </c>
      <c r="O435" s="8" t="s">
        <v>56</v>
      </c>
      <c r="P435" t="s">
        <v>76</v>
      </c>
      <c r="Q435" t="s">
        <v>57</v>
      </c>
      <c r="R435" s="5" t="s">
        <v>58</v>
      </c>
      <c r="S435" s="9">
        <v>10</v>
      </c>
      <c r="T435" s="9">
        <v>5</v>
      </c>
      <c r="U435" s="9">
        <v>5</v>
      </c>
      <c r="V435" s="10">
        <f>Table1[[#This Row],[MARGIN '[€']]]/Table1[[#This Row],[SALES '[€']]]</f>
        <v>0.5</v>
      </c>
      <c r="W435" s="5">
        <v>9215166828</v>
      </c>
      <c r="X435" s="5" t="s">
        <v>1020</v>
      </c>
      <c r="Y435" s="4">
        <v>82</v>
      </c>
      <c r="AA435" t="s">
        <v>89</v>
      </c>
      <c r="AL435" t="s">
        <v>61</v>
      </c>
    </row>
    <row r="436" spans="1:40" x14ac:dyDescent="0.25">
      <c r="A436" s="4">
        <v>34</v>
      </c>
      <c r="B436" t="s">
        <v>137</v>
      </c>
      <c r="C436" t="s">
        <v>52</v>
      </c>
      <c r="D436" s="5" t="s">
        <v>53</v>
      </c>
      <c r="E436" t="s">
        <v>54</v>
      </c>
      <c r="F436" s="6">
        <v>45159</v>
      </c>
      <c r="G436" s="7">
        <v>0.16666666666666699</v>
      </c>
      <c r="H436" t="s">
        <v>49</v>
      </c>
      <c r="I436" s="5" t="s">
        <v>50</v>
      </c>
      <c r="J436" t="s">
        <v>51</v>
      </c>
      <c r="K436" s="6">
        <v>45159</v>
      </c>
      <c r="L436" s="23">
        <v>0.75</v>
      </c>
      <c r="M436" s="5" t="s">
        <v>1021</v>
      </c>
      <c r="N436" s="5" t="s">
        <v>55</v>
      </c>
      <c r="O436" s="8" t="s">
        <v>56</v>
      </c>
      <c r="P436" t="s">
        <v>76</v>
      </c>
      <c r="Q436" t="s">
        <v>62</v>
      </c>
      <c r="R436" s="5" t="s">
        <v>58</v>
      </c>
      <c r="S436" s="9">
        <v>10</v>
      </c>
      <c r="T436" s="9">
        <v>5</v>
      </c>
      <c r="U436" s="9">
        <v>5</v>
      </c>
      <c r="V436" s="10">
        <f>Table1[[#This Row],[MARGIN '[€']]]/Table1[[#This Row],[SALES '[€']]]</f>
        <v>0.5</v>
      </c>
      <c r="W436" s="5">
        <v>9215166829</v>
      </c>
      <c r="X436" s="5" t="s">
        <v>1022</v>
      </c>
      <c r="Y436" s="4">
        <v>82</v>
      </c>
      <c r="AA436" t="s">
        <v>89</v>
      </c>
      <c r="AL436" t="s">
        <v>61</v>
      </c>
    </row>
    <row r="437" spans="1:40" x14ac:dyDescent="0.25">
      <c r="A437" s="4">
        <v>34</v>
      </c>
      <c r="B437" t="s">
        <v>137</v>
      </c>
      <c r="C437" t="s">
        <v>52</v>
      </c>
      <c r="D437" s="5" t="s">
        <v>53</v>
      </c>
      <c r="E437" t="s">
        <v>54</v>
      </c>
      <c r="F437" s="6">
        <v>45159</v>
      </c>
      <c r="G437" s="7">
        <v>0.16666666666666699</v>
      </c>
      <c r="H437" t="s">
        <v>49</v>
      </c>
      <c r="I437" s="5" t="s">
        <v>50</v>
      </c>
      <c r="J437" t="s">
        <v>51</v>
      </c>
      <c r="K437" s="6">
        <v>45159</v>
      </c>
      <c r="L437" s="23">
        <v>0.75</v>
      </c>
      <c r="M437" s="5" t="s">
        <v>1023</v>
      </c>
      <c r="N437" s="5" t="s">
        <v>55</v>
      </c>
      <c r="O437" s="8" t="s">
        <v>56</v>
      </c>
      <c r="P437" t="s">
        <v>76</v>
      </c>
      <c r="Q437" t="s">
        <v>64</v>
      </c>
      <c r="R437" s="5" t="s">
        <v>58</v>
      </c>
      <c r="S437" s="9">
        <v>10</v>
      </c>
      <c r="T437" s="9">
        <v>5</v>
      </c>
      <c r="U437" s="9">
        <v>5</v>
      </c>
      <c r="V437" s="10">
        <f>Table1[[#This Row],[MARGIN '[€']]]/Table1[[#This Row],[SALES '[€']]]</f>
        <v>0.5</v>
      </c>
      <c r="W437" s="5">
        <v>9215166830</v>
      </c>
      <c r="X437" s="5" t="s">
        <v>1024</v>
      </c>
      <c r="Y437" s="4">
        <v>82</v>
      </c>
      <c r="AA437" t="s">
        <v>89</v>
      </c>
      <c r="AL437" t="s">
        <v>61</v>
      </c>
    </row>
    <row r="438" spans="1:40" x14ac:dyDescent="0.25">
      <c r="A438" s="4">
        <v>34</v>
      </c>
      <c r="B438" t="s">
        <v>152</v>
      </c>
      <c r="C438" t="s">
        <v>153</v>
      </c>
      <c r="D438" s="5" t="s">
        <v>283</v>
      </c>
      <c r="E438" t="s">
        <v>284</v>
      </c>
      <c r="F438" s="6">
        <v>45160</v>
      </c>
      <c r="G438" s="7">
        <v>0.5</v>
      </c>
      <c r="H438" t="s">
        <v>49</v>
      </c>
      <c r="I438" s="5" t="s">
        <v>156</v>
      </c>
      <c r="J438" t="s">
        <v>285</v>
      </c>
      <c r="K438" s="6">
        <v>45166</v>
      </c>
      <c r="L438" s="23">
        <v>0.5</v>
      </c>
      <c r="M438" s="5" t="s">
        <v>1025</v>
      </c>
      <c r="N438" s="5" t="s">
        <v>142</v>
      </c>
      <c r="O438" s="8" t="s">
        <v>159</v>
      </c>
      <c r="P438">
        <v>3905</v>
      </c>
      <c r="Q438" t="s">
        <v>1026</v>
      </c>
      <c r="R438" s="5" t="s">
        <v>161</v>
      </c>
      <c r="S438" s="9">
        <v>10</v>
      </c>
      <c r="T438" s="9">
        <v>5</v>
      </c>
      <c r="U438" s="9">
        <v>5</v>
      </c>
      <c r="V438" s="10">
        <f>Table1[[#This Row],[MARGIN '[€']]]/Table1[[#This Row],[SALES '[€']]]</f>
        <v>0.5</v>
      </c>
      <c r="W438" s="5">
        <v>9215166862</v>
      </c>
      <c r="X438" s="5" t="s">
        <v>1027</v>
      </c>
      <c r="Y438" s="4">
        <v>1919</v>
      </c>
      <c r="AA438" t="s">
        <v>73</v>
      </c>
      <c r="AD438">
        <v>8</v>
      </c>
      <c r="AE438" s="3">
        <v>2</v>
      </c>
      <c r="AL438" t="s">
        <v>61</v>
      </c>
    </row>
    <row r="439" spans="1:40" x14ac:dyDescent="0.25">
      <c r="A439" s="4">
        <v>34</v>
      </c>
      <c r="B439" t="s">
        <v>333</v>
      </c>
      <c r="C439" t="s">
        <v>49</v>
      </c>
      <c r="D439" s="5" t="s">
        <v>334</v>
      </c>
      <c r="E439" t="s">
        <v>335</v>
      </c>
      <c r="F439" s="6">
        <v>45160</v>
      </c>
      <c r="G439" s="7">
        <v>0.79166666666666696</v>
      </c>
      <c r="H439" t="s">
        <v>138</v>
      </c>
      <c r="I439" s="5">
        <v>72</v>
      </c>
      <c r="J439" t="s">
        <v>1028</v>
      </c>
      <c r="K439" s="6">
        <v>45163</v>
      </c>
      <c r="L439" s="23">
        <v>0.375</v>
      </c>
      <c r="M439" s="5">
        <v>1002928157</v>
      </c>
      <c r="N439" s="5" t="s">
        <v>337</v>
      </c>
      <c r="O439" s="8" t="s">
        <v>338</v>
      </c>
      <c r="P439" t="s">
        <v>1029</v>
      </c>
      <c r="Q439" t="s">
        <v>1030</v>
      </c>
      <c r="R439" s="5" t="s">
        <v>738</v>
      </c>
      <c r="S439" s="9">
        <v>10</v>
      </c>
      <c r="T439" s="9">
        <v>5</v>
      </c>
      <c r="U439" s="9">
        <v>5</v>
      </c>
      <c r="V439" s="10">
        <f>Table1[[#This Row],[MARGIN '[€']]]/Table1[[#This Row],[SALES '[€']]]</f>
        <v>0.5</v>
      </c>
      <c r="W439" s="5" t="s">
        <v>1031</v>
      </c>
      <c r="X439" s="5" t="s">
        <v>1032</v>
      </c>
      <c r="Y439" s="4">
        <v>1775</v>
      </c>
      <c r="Z439" t="s">
        <v>339</v>
      </c>
      <c r="AA439" t="s">
        <v>342</v>
      </c>
      <c r="AL439" t="s">
        <v>61</v>
      </c>
    </row>
    <row r="440" spans="1:40" x14ac:dyDescent="0.25">
      <c r="A440" s="4">
        <v>34</v>
      </c>
      <c r="B440" t="s">
        <v>333</v>
      </c>
      <c r="C440" t="s">
        <v>49</v>
      </c>
      <c r="D440" s="5" t="s">
        <v>334</v>
      </c>
      <c r="E440" t="s">
        <v>335</v>
      </c>
      <c r="F440" s="6">
        <v>45160</v>
      </c>
      <c r="G440" s="7">
        <v>0.79166666666666696</v>
      </c>
      <c r="H440" t="s">
        <v>138</v>
      </c>
      <c r="I440" s="5">
        <v>62</v>
      </c>
      <c r="J440" t="s">
        <v>397</v>
      </c>
      <c r="K440" s="6">
        <v>45163</v>
      </c>
      <c r="L440" s="23" t="s">
        <v>568</v>
      </c>
      <c r="M440" s="5">
        <v>1002928274</v>
      </c>
      <c r="N440" s="5" t="s">
        <v>337</v>
      </c>
      <c r="O440" s="8" t="s">
        <v>338</v>
      </c>
      <c r="P440" t="s">
        <v>393</v>
      </c>
      <c r="R440" s="5" t="s">
        <v>1033</v>
      </c>
      <c r="S440" s="9">
        <v>10</v>
      </c>
      <c r="T440" s="9">
        <v>5</v>
      </c>
      <c r="U440" s="9">
        <v>5</v>
      </c>
      <c r="V440" s="10">
        <f>Table1[[#This Row],[MARGIN '[€']]]/Table1[[#This Row],[SALES '[€']]]</f>
        <v>0.5</v>
      </c>
      <c r="W440" s="5" t="s">
        <v>1034</v>
      </c>
      <c r="X440" s="5" t="s">
        <v>1035</v>
      </c>
      <c r="Y440" s="4">
        <v>1570</v>
      </c>
      <c r="Z440" t="s">
        <v>339</v>
      </c>
      <c r="AA440" t="s">
        <v>342</v>
      </c>
      <c r="AL440" t="s">
        <v>214</v>
      </c>
    </row>
    <row r="441" spans="1:40" x14ac:dyDescent="0.25">
      <c r="A441" s="4">
        <v>34</v>
      </c>
      <c r="B441" t="s">
        <v>333</v>
      </c>
      <c r="C441" t="s">
        <v>49</v>
      </c>
      <c r="D441" s="5" t="s">
        <v>334</v>
      </c>
      <c r="E441" t="s">
        <v>335</v>
      </c>
      <c r="F441" s="6">
        <v>45160</v>
      </c>
      <c r="G441" s="7">
        <v>0.375</v>
      </c>
      <c r="H441" t="s">
        <v>384</v>
      </c>
      <c r="I441" s="5">
        <v>29</v>
      </c>
      <c r="J441" t="s">
        <v>386</v>
      </c>
      <c r="K441" s="6">
        <v>45162</v>
      </c>
      <c r="L441" s="23">
        <v>0.375</v>
      </c>
      <c r="M441" s="5">
        <v>1002950407</v>
      </c>
      <c r="N441" s="5" t="s">
        <v>337</v>
      </c>
      <c r="O441" s="8" t="s">
        <v>387</v>
      </c>
      <c r="P441" t="s">
        <v>1036</v>
      </c>
      <c r="Q441" t="s">
        <v>1037</v>
      </c>
      <c r="R441" s="5" t="s">
        <v>1038</v>
      </c>
      <c r="S441" s="9">
        <v>10</v>
      </c>
      <c r="T441" s="9">
        <v>5</v>
      </c>
      <c r="U441" s="9">
        <v>5</v>
      </c>
      <c r="V441" s="10">
        <f>Table1[[#This Row],[MARGIN '[€']]]/Table1[[#This Row],[SALES '[€']]]</f>
        <v>0.5</v>
      </c>
      <c r="W441" s="5">
        <v>9215166769</v>
      </c>
      <c r="X441" s="5" t="s">
        <v>1039</v>
      </c>
      <c r="Y441" s="4">
        <v>1233</v>
      </c>
      <c r="Z441" t="s">
        <v>1040</v>
      </c>
      <c r="AA441" t="s">
        <v>342</v>
      </c>
      <c r="AL441" t="s">
        <v>61</v>
      </c>
    </row>
    <row r="442" spans="1:40" x14ac:dyDescent="0.25">
      <c r="A442" s="4">
        <v>34</v>
      </c>
      <c r="B442" t="s">
        <v>607</v>
      </c>
      <c r="C442" t="s">
        <v>49</v>
      </c>
      <c r="D442" s="5" t="s">
        <v>156</v>
      </c>
      <c r="E442" t="s">
        <v>880</v>
      </c>
      <c r="F442" s="6">
        <v>45160</v>
      </c>
      <c r="G442" s="7">
        <v>0.5625</v>
      </c>
      <c r="H442" t="s">
        <v>138</v>
      </c>
      <c r="I442" s="5" t="s">
        <v>878</v>
      </c>
      <c r="J442" t="s">
        <v>1041</v>
      </c>
      <c r="K442" s="6">
        <v>45162</v>
      </c>
      <c r="L442" s="23">
        <v>0.25</v>
      </c>
      <c r="M442" s="5" t="s">
        <v>1042</v>
      </c>
      <c r="N442" s="5" t="s">
        <v>55</v>
      </c>
      <c r="O442" s="8" t="s">
        <v>56</v>
      </c>
      <c r="P442" t="s">
        <v>609</v>
      </c>
      <c r="Q442" t="s">
        <v>564</v>
      </c>
      <c r="R442" s="5" t="s">
        <v>565</v>
      </c>
      <c r="S442" s="9">
        <v>10</v>
      </c>
      <c r="T442" s="9">
        <v>5</v>
      </c>
      <c r="U442" s="9">
        <v>5</v>
      </c>
      <c r="V442" s="10">
        <f>Table1[[#This Row],[MARGIN '[€']]]/Table1[[#This Row],[SALES '[€']]]</f>
        <v>0.5</v>
      </c>
      <c r="W442" s="5">
        <v>2003370872</v>
      </c>
      <c r="X442" s="5" t="s">
        <v>1043</v>
      </c>
      <c r="Y442" s="4">
        <v>1057</v>
      </c>
      <c r="Z442">
        <v>0</v>
      </c>
      <c r="AA442" t="s">
        <v>163</v>
      </c>
      <c r="AL442" t="s">
        <v>61</v>
      </c>
      <c r="AN442" t="s">
        <v>613</v>
      </c>
    </row>
    <row r="443" spans="1:40" x14ac:dyDescent="0.25">
      <c r="A443" s="4">
        <v>34</v>
      </c>
      <c r="B443" t="s">
        <v>48</v>
      </c>
      <c r="C443" t="s">
        <v>49</v>
      </c>
      <c r="D443" s="5" t="s">
        <v>50</v>
      </c>
      <c r="E443" t="s">
        <v>51</v>
      </c>
      <c r="F443" s="6">
        <v>45160</v>
      </c>
      <c r="G443" s="7">
        <v>0.29166666666666702</v>
      </c>
      <c r="H443" t="s">
        <v>66</v>
      </c>
      <c r="I443" s="5">
        <v>32</v>
      </c>
      <c r="J443" t="s">
        <v>68</v>
      </c>
      <c r="K443" s="6">
        <v>45160</v>
      </c>
      <c r="L443" s="23">
        <v>0.58333333333333304</v>
      </c>
      <c r="M443" s="5">
        <v>119901</v>
      </c>
      <c r="N443" s="5" t="s">
        <v>69</v>
      </c>
      <c r="O443" s="8" t="s">
        <v>56</v>
      </c>
      <c r="Q443" t="s">
        <v>256</v>
      </c>
      <c r="R443" s="5" t="s">
        <v>177</v>
      </c>
      <c r="S443" s="9">
        <v>10</v>
      </c>
      <c r="T443" s="9">
        <v>5</v>
      </c>
      <c r="U443" s="9">
        <v>5</v>
      </c>
      <c r="V443" s="10">
        <f>Table1[[#This Row],[MARGIN '[€']]]/Table1[[#This Row],[SALES '[€']]]</f>
        <v>0.5</v>
      </c>
      <c r="W443" s="5">
        <v>9215166905</v>
      </c>
      <c r="X443" s="5" t="s">
        <v>1044</v>
      </c>
      <c r="Y443" s="4">
        <v>316</v>
      </c>
      <c r="AA443" t="s">
        <v>73</v>
      </c>
      <c r="AL443" t="s">
        <v>61</v>
      </c>
    </row>
    <row r="444" spans="1:40" x14ac:dyDescent="0.25">
      <c r="A444" s="4">
        <v>34</v>
      </c>
      <c r="B444" t="s">
        <v>48</v>
      </c>
      <c r="C444" t="s">
        <v>49</v>
      </c>
      <c r="D444" s="5" t="s">
        <v>50</v>
      </c>
      <c r="E444" t="s">
        <v>51</v>
      </c>
      <c r="F444" s="6">
        <v>45160</v>
      </c>
      <c r="G444" s="7">
        <v>0.56944444444444398</v>
      </c>
      <c r="H444" t="s">
        <v>66</v>
      </c>
      <c r="I444" s="5">
        <v>32</v>
      </c>
      <c r="J444" t="s">
        <v>68</v>
      </c>
      <c r="K444" s="6">
        <v>45160</v>
      </c>
      <c r="L444" s="23">
        <v>0.91666666666666696</v>
      </c>
      <c r="M444" s="5">
        <v>119903</v>
      </c>
      <c r="N444" s="5" t="s">
        <v>69</v>
      </c>
      <c r="O444" s="8" t="s">
        <v>56</v>
      </c>
      <c r="Q444" t="s">
        <v>1045</v>
      </c>
      <c r="R444" s="5" t="s">
        <v>177</v>
      </c>
      <c r="S444" s="9">
        <v>10</v>
      </c>
      <c r="T444" s="9">
        <v>5</v>
      </c>
      <c r="U444" s="9">
        <v>5</v>
      </c>
      <c r="V444" s="10">
        <f>Table1[[#This Row],[MARGIN '[€']]]/Table1[[#This Row],[SALES '[€']]]</f>
        <v>0.5</v>
      </c>
      <c r="W444" s="5">
        <v>9215166907</v>
      </c>
      <c r="X444" s="5" t="s">
        <v>1046</v>
      </c>
      <c r="Y444" s="4">
        <v>316</v>
      </c>
      <c r="AA444" t="s">
        <v>73</v>
      </c>
      <c r="AL444" t="s">
        <v>61</v>
      </c>
    </row>
    <row r="445" spans="1:40" x14ac:dyDescent="0.25">
      <c r="A445" s="4">
        <v>34</v>
      </c>
      <c r="B445" t="s">
        <v>48</v>
      </c>
      <c r="C445" t="s">
        <v>49</v>
      </c>
      <c r="D445" s="5" t="s">
        <v>50</v>
      </c>
      <c r="E445" t="s">
        <v>51</v>
      </c>
      <c r="F445" s="6">
        <v>45160</v>
      </c>
      <c r="G445" s="7">
        <v>0.47916666666666702</v>
      </c>
      <c r="H445" t="s">
        <v>66</v>
      </c>
      <c r="I445" s="5">
        <v>32</v>
      </c>
      <c r="J445" t="s">
        <v>68</v>
      </c>
      <c r="K445" s="6">
        <v>45161</v>
      </c>
      <c r="L445" s="23">
        <v>8.3333333333333301E-2</v>
      </c>
      <c r="M445" s="5">
        <v>119904</v>
      </c>
      <c r="N445" s="5" t="s">
        <v>69</v>
      </c>
      <c r="O445" s="8" t="s">
        <v>56</v>
      </c>
      <c r="Q445" t="s">
        <v>299</v>
      </c>
      <c r="R445" s="5" t="s">
        <v>177</v>
      </c>
      <c r="S445" s="9">
        <v>10</v>
      </c>
      <c r="T445" s="9">
        <v>5</v>
      </c>
      <c r="U445" s="9">
        <v>5</v>
      </c>
      <c r="V445" s="10">
        <f>Table1[[#This Row],[MARGIN '[€']]]/Table1[[#This Row],[SALES '[€']]]</f>
        <v>0.5</v>
      </c>
      <c r="W445" s="5">
        <v>9215166906</v>
      </c>
      <c r="X445" s="5" t="s">
        <v>1047</v>
      </c>
      <c r="Y445" s="4">
        <v>316</v>
      </c>
      <c r="AA445" t="s">
        <v>73</v>
      </c>
      <c r="AL445" t="s">
        <v>61</v>
      </c>
    </row>
    <row r="446" spans="1:40" x14ac:dyDescent="0.25">
      <c r="A446" s="4">
        <v>34</v>
      </c>
      <c r="B446" t="s">
        <v>48</v>
      </c>
      <c r="C446" t="s">
        <v>49</v>
      </c>
      <c r="D446" s="5" t="s">
        <v>50</v>
      </c>
      <c r="E446" t="s">
        <v>51</v>
      </c>
      <c r="F446" s="6">
        <v>45160</v>
      </c>
      <c r="G446" s="7">
        <v>0.48611111111111099</v>
      </c>
      <c r="H446" t="s">
        <v>66</v>
      </c>
      <c r="I446" s="5">
        <v>32</v>
      </c>
      <c r="J446" t="s">
        <v>68</v>
      </c>
      <c r="K446" s="6">
        <v>45161</v>
      </c>
      <c r="L446" s="23">
        <v>0.25</v>
      </c>
      <c r="M446" s="5">
        <v>119905</v>
      </c>
      <c r="N446" s="5" t="s">
        <v>69</v>
      </c>
      <c r="O446" s="8" t="s">
        <v>56</v>
      </c>
      <c r="Q446" t="s">
        <v>248</v>
      </c>
      <c r="R446" s="5" t="s">
        <v>71</v>
      </c>
      <c r="S446" s="9">
        <v>10</v>
      </c>
      <c r="T446" s="9">
        <v>5</v>
      </c>
      <c r="U446" s="9">
        <v>5</v>
      </c>
      <c r="V446" s="10">
        <f>Table1[[#This Row],[MARGIN '[€']]]/Table1[[#This Row],[SALES '[€']]]</f>
        <v>0.5</v>
      </c>
      <c r="W446" s="5">
        <v>9215166899</v>
      </c>
      <c r="X446" s="5" t="s">
        <v>1048</v>
      </c>
      <c r="Y446" s="4">
        <v>316</v>
      </c>
      <c r="AA446" t="s">
        <v>73</v>
      </c>
      <c r="AL446" t="s">
        <v>61</v>
      </c>
    </row>
    <row r="447" spans="1:40" x14ac:dyDescent="0.25">
      <c r="A447" s="4">
        <v>34</v>
      </c>
      <c r="B447" t="s">
        <v>48</v>
      </c>
      <c r="C447" t="s">
        <v>49</v>
      </c>
      <c r="D447" s="5" t="s">
        <v>50</v>
      </c>
      <c r="E447" t="s">
        <v>51</v>
      </c>
      <c r="F447" s="6">
        <v>45160</v>
      </c>
      <c r="G447" s="7">
        <v>0.66666666666666696</v>
      </c>
      <c r="H447" t="s">
        <v>66</v>
      </c>
      <c r="I447" s="5">
        <v>32</v>
      </c>
      <c r="J447" t="s">
        <v>68</v>
      </c>
      <c r="K447" s="6">
        <v>45161</v>
      </c>
      <c r="L447" s="23">
        <v>0.41666666666666702</v>
      </c>
      <c r="M447" s="5">
        <v>119906</v>
      </c>
      <c r="N447" s="5" t="s">
        <v>69</v>
      </c>
      <c r="O447" s="8" t="s">
        <v>56</v>
      </c>
      <c r="Q447" t="s">
        <v>70</v>
      </c>
      <c r="R447" s="5" t="s">
        <v>71</v>
      </c>
      <c r="S447" s="9">
        <v>10</v>
      </c>
      <c r="T447" s="9">
        <v>5</v>
      </c>
      <c r="U447" s="9">
        <v>5</v>
      </c>
      <c r="V447" s="10">
        <f>Table1[[#This Row],[MARGIN '[€']]]/Table1[[#This Row],[SALES '[€']]]</f>
        <v>0.5</v>
      </c>
      <c r="W447" s="5">
        <v>9215166900</v>
      </c>
      <c r="X447" s="5" t="s">
        <v>1049</v>
      </c>
      <c r="Y447" s="4">
        <v>316</v>
      </c>
      <c r="AA447" t="s">
        <v>73</v>
      </c>
      <c r="AL447" t="s">
        <v>61</v>
      </c>
    </row>
    <row r="448" spans="1:40" x14ac:dyDescent="0.25">
      <c r="A448" s="4">
        <v>34</v>
      </c>
      <c r="B448" t="s">
        <v>48</v>
      </c>
      <c r="C448" t="s">
        <v>49</v>
      </c>
      <c r="D448" s="5" t="s">
        <v>50</v>
      </c>
      <c r="E448" t="s">
        <v>51</v>
      </c>
      <c r="F448" s="6">
        <v>45160</v>
      </c>
      <c r="G448" s="7" t="s">
        <v>1050</v>
      </c>
      <c r="H448" t="s">
        <v>66</v>
      </c>
      <c r="I448" s="5">
        <v>32</v>
      </c>
      <c r="J448" t="s">
        <v>68</v>
      </c>
      <c r="K448" s="6">
        <v>45161</v>
      </c>
      <c r="L448" s="23" t="s">
        <v>568</v>
      </c>
      <c r="M448" s="5">
        <v>119908</v>
      </c>
      <c r="N448" s="5" t="s">
        <v>69</v>
      </c>
      <c r="O448" s="8" t="s">
        <v>56</v>
      </c>
      <c r="R448" s="5" t="s">
        <v>177</v>
      </c>
      <c r="S448" s="9">
        <v>10</v>
      </c>
      <c r="T448" s="9">
        <v>5</v>
      </c>
      <c r="U448" s="9">
        <v>5</v>
      </c>
      <c r="V448" s="10">
        <f>Table1[[#This Row],[MARGIN '[€']]]/Table1[[#This Row],[SALES '[€']]]</f>
        <v>0.5</v>
      </c>
      <c r="Y448" s="4">
        <v>316</v>
      </c>
      <c r="Z448" t="s">
        <v>1051</v>
      </c>
      <c r="AA448" t="s">
        <v>73</v>
      </c>
      <c r="AL448" t="s">
        <v>214</v>
      </c>
    </row>
    <row r="449" spans="1:38" x14ac:dyDescent="0.25">
      <c r="A449" s="4">
        <v>34</v>
      </c>
      <c r="B449" t="s">
        <v>48</v>
      </c>
      <c r="C449" t="s">
        <v>49</v>
      </c>
      <c r="D449" s="5" t="s">
        <v>50</v>
      </c>
      <c r="E449" t="s">
        <v>51</v>
      </c>
      <c r="F449" s="6">
        <v>45160</v>
      </c>
      <c r="G449" s="7" t="s">
        <v>1050</v>
      </c>
      <c r="H449" t="s">
        <v>66</v>
      </c>
      <c r="I449" s="5">
        <v>32</v>
      </c>
      <c r="J449" t="s">
        <v>68</v>
      </c>
      <c r="K449" s="6">
        <v>45161</v>
      </c>
      <c r="L449" s="23" t="s">
        <v>568</v>
      </c>
      <c r="M449" s="5">
        <v>119909</v>
      </c>
      <c r="N449" s="5" t="s">
        <v>69</v>
      </c>
      <c r="O449" s="8" t="s">
        <v>56</v>
      </c>
      <c r="R449" s="5" t="s">
        <v>177</v>
      </c>
      <c r="S449" s="9">
        <v>10</v>
      </c>
      <c r="T449" s="9">
        <v>5</v>
      </c>
      <c r="U449" s="9">
        <v>5</v>
      </c>
      <c r="V449" s="10">
        <f>Table1[[#This Row],[MARGIN '[€']]]/Table1[[#This Row],[SALES '[€']]]</f>
        <v>0.5</v>
      </c>
      <c r="Y449" s="4">
        <v>316</v>
      </c>
      <c r="Z449" t="s">
        <v>1051</v>
      </c>
      <c r="AA449" t="s">
        <v>73</v>
      </c>
      <c r="AL449" t="s">
        <v>214</v>
      </c>
    </row>
    <row r="450" spans="1:38" x14ac:dyDescent="0.25">
      <c r="A450" s="4">
        <v>34</v>
      </c>
      <c r="B450" t="s">
        <v>48</v>
      </c>
      <c r="C450" t="s">
        <v>49</v>
      </c>
      <c r="D450" s="5" t="s">
        <v>50</v>
      </c>
      <c r="E450" t="s">
        <v>51</v>
      </c>
      <c r="F450" s="6">
        <v>45160</v>
      </c>
      <c r="G450" s="7" t="s">
        <v>1050</v>
      </c>
      <c r="H450" t="s">
        <v>66</v>
      </c>
      <c r="I450" s="5">
        <v>32</v>
      </c>
      <c r="J450" t="s">
        <v>68</v>
      </c>
      <c r="K450" s="6">
        <v>45161</v>
      </c>
      <c r="L450" s="23" t="s">
        <v>568</v>
      </c>
      <c r="M450" s="5">
        <v>119910</v>
      </c>
      <c r="N450" s="5" t="s">
        <v>69</v>
      </c>
      <c r="O450" s="8" t="s">
        <v>56</v>
      </c>
      <c r="R450" s="5" t="s">
        <v>177</v>
      </c>
      <c r="S450" s="9">
        <v>10</v>
      </c>
      <c r="T450" s="9">
        <v>5</v>
      </c>
      <c r="U450" s="9">
        <v>5</v>
      </c>
      <c r="V450" s="10">
        <f>Table1[[#This Row],[MARGIN '[€']]]/Table1[[#This Row],[SALES '[€']]]</f>
        <v>0.5</v>
      </c>
      <c r="Y450" s="4">
        <v>316</v>
      </c>
      <c r="Z450" t="s">
        <v>1051</v>
      </c>
      <c r="AA450" t="s">
        <v>73</v>
      </c>
      <c r="AL450" t="s">
        <v>214</v>
      </c>
    </row>
    <row r="451" spans="1:38" x14ac:dyDescent="0.25">
      <c r="A451" s="4">
        <v>34</v>
      </c>
      <c r="B451" t="s">
        <v>48</v>
      </c>
      <c r="C451" t="s">
        <v>49</v>
      </c>
      <c r="D451" s="5" t="s">
        <v>102</v>
      </c>
      <c r="E451" t="s">
        <v>103</v>
      </c>
      <c r="F451" s="6">
        <v>45160</v>
      </c>
      <c r="G451" s="7">
        <v>0.46875</v>
      </c>
      <c r="H451" t="s">
        <v>90</v>
      </c>
      <c r="I451" s="5">
        <v>23</v>
      </c>
      <c r="J451" t="s">
        <v>133</v>
      </c>
      <c r="K451" s="6">
        <v>45161</v>
      </c>
      <c r="L451" s="23">
        <v>0.33333333333333298</v>
      </c>
      <c r="M451" s="5">
        <v>119875</v>
      </c>
      <c r="N451" s="5" t="s">
        <v>69</v>
      </c>
      <c r="O451" s="8" t="s">
        <v>56</v>
      </c>
      <c r="Q451" t="s">
        <v>355</v>
      </c>
      <c r="R451" s="5" t="s">
        <v>356</v>
      </c>
      <c r="S451" s="9">
        <v>10</v>
      </c>
      <c r="T451" s="9">
        <v>5</v>
      </c>
      <c r="U451" s="9">
        <v>5</v>
      </c>
      <c r="V451" s="10">
        <f>Table1[[#This Row],[MARGIN '[€']]]/Table1[[#This Row],[SALES '[€']]]</f>
        <v>0.5</v>
      </c>
      <c r="W451" s="5">
        <v>9215166742</v>
      </c>
      <c r="X451" s="5" t="s">
        <v>1052</v>
      </c>
      <c r="Y451" s="4">
        <v>483</v>
      </c>
      <c r="AA451" t="s">
        <v>89</v>
      </c>
      <c r="AL451" t="s">
        <v>61</v>
      </c>
    </row>
    <row r="452" spans="1:38" x14ac:dyDescent="0.25">
      <c r="A452" s="4">
        <v>34</v>
      </c>
      <c r="B452" t="s">
        <v>48</v>
      </c>
      <c r="C452" t="s">
        <v>49</v>
      </c>
      <c r="D452" s="5" t="s">
        <v>50</v>
      </c>
      <c r="E452" t="s">
        <v>51</v>
      </c>
      <c r="F452" s="6">
        <v>45160</v>
      </c>
      <c r="G452" s="7">
        <v>0.97916666666666696</v>
      </c>
      <c r="H452" t="s">
        <v>90</v>
      </c>
      <c r="I452" s="5">
        <v>23</v>
      </c>
      <c r="J452" t="s">
        <v>133</v>
      </c>
      <c r="K452" s="6">
        <v>45161</v>
      </c>
      <c r="L452" s="23">
        <v>0.29166666666666702</v>
      </c>
      <c r="M452" s="5">
        <v>119874</v>
      </c>
      <c r="N452" s="5" t="s">
        <v>69</v>
      </c>
      <c r="O452" s="8" t="s">
        <v>56</v>
      </c>
      <c r="Q452" t="s">
        <v>545</v>
      </c>
      <c r="R452" s="5" t="s">
        <v>94</v>
      </c>
      <c r="S452" s="9">
        <v>10</v>
      </c>
      <c r="T452" s="9">
        <v>5</v>
      </c>
      <c r="U452" s="9">
        <v>5</v>
      </c>
      <c r="V452" s="10">
        <f>Table1[[#This Row],[MARGIN '[€']]]/Table1[[#This Row],[SALES '[€']]]</f>
        <v>0.5</v>
      </c>
      <c r="W452" s="5">
        <v>9215166837</v>
      </c>
      <c r="X452" s="5" t="s">
        <v>1053</v>
      </c>
      <c r="Y452" s="4">
        <v>483</v>
      </c>
      <c r="AA452" t="s">
        <v>89</v>
      </c>
      <c r="AL452" t="s">
        <v>61</v>
      </c>
    </row>
    <row r="453" spans="1:38" x14ac:dyDescent="0.25">
      <c r="A453" s="4">
        <v>34</v>
      </c>
      <c r="B453" t="s">
        <v>48</v>
      </c>
      <c r="C453" t="s">
        <v>49</v>
      </c>
      <c r="D453" s="5" t="s">
        <v>50</v>
      </c>
      <c r="E453" t="s">
        <v>51</v>
      </c>
      <c r="F453" s="6">
        <v>45160</v>
      </c>
      <c r="G453" s="7">
        <v>0.30555555555555503</v>
      </c>
      <c r="H453" t="s">
        <v>52</v>
      </c>
      <c r="I453" s="5">
        <v>23</v>
      </c>
      <c r="J453" t="s">
        <v>85</v>
      </c>
      <c r="K453" s="6">
        <v>45160</v>
      </c>
      <c r="L453" s="23">
        <v>0.58333333333333304</v>
      </c>
      <c r="M453" s="5">
        <v>119948</v>
      </c>
      <c r="N453" s="5" t="s">
        <v>69</v>
      </c>
      <c r="O453" s="8" t="s">
        <v>56</v>
      </c>
      <c r="Q453" t="s">
        <v>992</v>
      </c>
      <c r="R453" s="5" t="s">
        <v>58</v>
      </c>
      <c r="S453" s="9">
        <v>10</v>
      </c>
      <c r="T453" s="9">
        <v>5</v>
      </c>
      <c r="U453" s="9">
        <v>5</v>
      </c>
      <c r="V453" s="10">
        <f>Table1[[#This Row],[MARGIN '[€']]]/Table1[[#This Row],[SALES '[€']]]</f>
        <v>0.5</v>
      </c>
      <c r="W453" s="5">
        <v>9215166789</v>
      </c>
      <c r="X453" s="5" t="s">
        <v>1054</v>
      </c>
      <c r="Y453" s="4">
        <v>261</v>
      </c>
      <c r="AA453" t="s">
        <v>89</v>
      </c>
      <c r="AL453" t="s">
        <v>61</v>
      </c>
    </row>
    <row r="454" spans="1:38" x14ac:dyDescent="0.25">
      <c r="A454" s="4">
        <v>34</v>
      </c>
      <c r="B454" t="s">
        <v>48</v>
      </c>
      <c r="C454" t="s">
        <v>49</v>
      </c>
      <c r="D454" s="5" t="s">
        <v>50</v>
      </c>
      <c r="E454" t="s">
        <v>51</v>
      </c>
      <c r="F454" s="6">
        <v>45160</v>
      </c>
      <c r="G454" s="7">
        <v>0.40277777777777801</v>
      </c>
      <c r="H454" t="s">
        <v>52</v>
      </c>
      <c r="I454" s="5">
        <v>23</v>
      </c>
      <c r="J454" t="s">
        <v>85</v>
      </c>
      <c r="K454" s="6">
        <v>45160</v>
      </c>
      <c r="L454" s="23">
        <v>0.66666666666666696</v>
      </c>
      <c r="M454" s="5">
        <v>119949</v>
      </c>
      <c r="N454" s="5" t="s">
        <v>69</v>
      </c>
      <c r="O454" s="8" t="s">
        <v>56</v>
      </c>
      <c r="P454" t="s">
        <v>76</v>
      </c>
      <c r="Q454" t="s">
        <v>86</v>
      </c>
      <c r="R454" s="5" t="s">
        <v>58</v>
      </c>
      <c r="S454" s="9">
        <v>10</v>
      </c>
      <c r="T454" s="9">
        <v>5</v>
      </c>
      <c r="U454" s="9">
        <v>5</v>
      </c>
      <c r="V454" s="10">
        <f>Table1[[#This Row],[MARGIN '[€']]]/Table1[[#This Row],[SALES '[€']]]</f>
        <v>0.5</v>
      </c>
      <c r="W454" s="5" t="s">
        <v>1055</v>
      </c>
      <c r="X454" s="5" t="s">
        <v>1056</v>
      </c>
      <c r="Y454" s="4">
        <v>261</v>
      </c>
      <c r="AA454" t="s">
        <v>89</v>
      </c>
      <c r="AL454" t="s">
        <v>61</v>
      </c>
    </row>
    <row r="455" spans="1:38" x14ac:dyDescent="0.25">
      <c r="A455" s="4">
        <v>34</v>
      </c>
      <c r="B455" t="s">
        <v>48</v>
      </c>
      <c r="C455" t="s">
        <v>49</v>
      </c>
      <c r="D455" s="5" t="s">
        <v>50</v>
      </c>
      <c r="E455" t="s">
        <v>51</v>
      </c>
      <c r="F455" s="6">
        <v>45160</v>
      </c>
      <c r="G455" s="7">
        <v>0.54166666666666696</v>
      </c>
      <c r="H455" t="s">
        <v>52</v>
      </c>
      <c r="I455" s="5">
        <v>23</v>
      </c>
      <c r="J455" t="s">
        <v>85</v>
      </c>
      <c r="K455" s="6">
        <v>45160</v>
      </c>
      <c r="L455" s="23">
        <v>0.75</v>
      </c>
      <c r="M455" s="5">
        <v>119950</v>
      </c>
      <c r="N455" s="5" t="s">
        <v>69</v>
      </c>
      <c r="O455" s="8" t="s">
        <v>56</v>
      </c>
      <c r="Q455" t="s">
        <v>111</v>
      </c>
      <c r="R455" s="5" t="s">
        <v>112</v>
      </c>
      <c r="S455" s="9">
        <v>10</v>
      </c>
      <c r="T455" s="9">
        <v>5</v>
      </c>
      <c r="U455" s="9">
        <v>5</v>
      </c>
      <c r="V455" s="10">
        <f>Table1[[#This Row],[MARGIN '[€']]]/Table1[[#This Row],[SALES '[€']]]</f>
        <v>0.5</v>
      </c>
      <c r="W455" s="5">
        <v>9215166738</v>
      </c>
      <c r="X455" s="5" t="s">
        <v>1057</v>
      </c>
      <c r="Y455" s="4">
        <v>261</v>
      </c>
      <c r="AA455" t="s">
        <v>89</v>
      </c>
      <c r="AL455" t="s">
        <v>61</v>
      </c>
    </row>
    <row r="456" spans="1:38" x14ac:dyDescent="0.25">
      <c r="A456" s="4">
        <v>34</v>
      </c>
      <c r="B456" t="s">
        <v>48</v>
      </c>
      <c r="C456" t="s">
        <v>49</v>
      </c>
      <c r="D456" s="5" t="s">
        <v>50</v>
      </c>
      <c r="E456" t="s">
        <v>51</v>
      </c>
      <c r="F456" s="6">
        <v>45160</v>
      </c>
      <c r="G456" s="7">
        <v>0.63888888888888895</v>
      </c>
      <c r="H456" t="s">
        <v>52</v>
      </c>
      <c r="I456" s="5">
        <v>23</v>
      </c>
      <c r="J456" t="s">
        <v>85</v>
      </c>
      <c r="K456" s="6">
        <v>45161</v>
      </c>
      <c r="L456" s="23">
        <v>0.25</v>
      </c>
      <c r="M456" s="5">
        <v>119951</v>
      </c>
      <c r="N456" s="5" t="s">
        <v>69</v>
      </c>
      <c r="O456" s="8" t="s">
        <v>56</v>
      </c>
      <c r="Q456" t="s">
        <v>971</v>
      </c>
      <c r="R456" s="5" t="s">
        <v>71</v>
      </c>
      <c r="S456" s="9">
        <v>10</v>
      </c>
      <c r="T456" s="9">
        <v>5</v>
      </c>
      <c r="U456" s="9">
        <v>5</v>
      </c>
      <c r="V456" s="10">
        <f>Table1[[#This Row],[MARGIN '[€']]]/Table1[[#This Row],[SALES '[€']]]</f>
        <v>0.5</v>
      </c>
      <c r="W456" s="5">
        <v>9215166819</v>
      </c>
      <c r="X456" s="5" t="s">
        <v>1058</v>
      </c>
      <c r="Y456" s="4">
        <v>261</v>
      </c>
      <c r="AA456" t="s">
        <v>89</v>
      </c>
      <c r="AL456" t="s">
        <v>61</v>
      </c>
    </row>
    <row r="457" spans="1:38" x14ac:dyDescent="0.25">
      <c r="A457" s="4">
        <v>34</v>
      </c>
      <c r="B457" t="s">
        <v>48</v>
      </c>
      <c r="C457" t="s">
        <v>49</v>
      </c>
      <c r="D457" s="5" t="s">
        <v>50</v>
      </c>
      <c r="E457" t="s">
        <v>51</v>
      </c>
      <c r="F457" s="6">
        <v>45160</v>
      </c>
      <c r="G457" s="7">
        <v>0.55555555555555602</v>
      </c>
      <c r="H457" t="s">
        <v>52</v>
      </c>
      <c r="I457" s="5">
        <v>23</v>
      </c>
      <c r="J457" t="s">
        <v>85</v>
      </c>
      <c r="K457" s="6">
        <v>45161</v>
      </c>
      <c r="L457" s="3">
        <v>0.33333333333333298</v>
      </c>
      <c r="M457" s="5">
        <v>119952</v>
      </c>
      <c r="N457" s="5" t="s">
        <v>69</v>
      </c>
      <c r="O457" s="8" t="s">
        <v>56</v>
      </c>
      <c r="Q457" t="s">
        <v>369</v>
      </c>
      <c r="R457" s="5" t="s">
        <v>317</v>
      </c>
      <c r="S457" s="9">
        <v>10</v>
      </c>
      <c r="T457" s="9">
        <v>5</v>
      </c>
      <c r="U457" s="9">
        <v>5</v>
      </c>
      <c r="V457" s="10">
        <f>Table1[[#This Row],[MARGIN '[€']]]/Table1[[#This Row],[SALES '[€']]]</f>
        <v>0.5</v>
      </c>
      <c r="W457" s="5">
        <v>9215166755</v>
      </c>
      <c r="X457" s="5" t="s">
        <v>1059</v>
      </c>
      <c r="Y457" s="4">
        <v>261</v>
      </c>
      <c r="AA457" t="s">
        <v>89</v>
      </c>
      <c r="AL457" t="s">
        <v>61</v>
      </c>
    </row>
    <row r="458" spans="1:38" x14ac:dyDescent="0.25">
      <c r="A458" s="4">
        <v>34</v>
      </c>
      <c r="B458" t="s">
        <v>48</v>
      </c>
      <c r="C458" t="s">
        <v>49</v>
      </c>
      <c r="D458" s="5" t="s">
        <v>50</v>
      </c>
      <c r="E458" t="s">
        <v>51</v>
      </c>
      <c r="F458" s="6">
        <v>45160</v>
      </c>
      <c r="G458" s="7">
        <v>0.65277777777777801</v>
      </c>
      <c r="H458" t="s">
        <v>52</v>
      </c>
      <c r="I458" s="5">
        <v>23</v>
      </c>
      <c r="J458" t="s">
        <v>85</v>
      </c>
      <c r="K458" s="6">
        <v>45161</v>
      </c>
      <c r="L458" s="23">
        <v>0.41666666666666702</v>
      </c>
      <c r="M458" s="5">
        <v>119953</v>
      </c>
      <c r="N458" s="5" t="s">
        <v>69</v>
      </c>
      <c r="O458" s="8" t="s">
        <v>56</v>
      </c>
      <c r="Q458" t="s">
        <v>499</v>
      </c>
      <c r="R458" s="5" t="s">
        <v>500</v>
      </c>
      <c r="S458" s="9">
        <v>10</v>
      </c>
      <c r="T458" s="9">
        <v>5</v>
      </c>
      <c r="U458" s="9">
        <v>5</v>
      </c>
      <c r="V458" s="10">
        <f>Table1[[#This Row],[MARGIN '[€']]]/Table1[[#This Row],[SALES '[€']]]</f>
        <v>0.5</v>
      </c>
      <c r="W458" s="5">
        <v>9215166763</v>
      </c>
      <c r="X458" s="5" t="s">
        <v>1060</v>
      </c>
      <c r="Y458" s="4">
        <v>261</v>
      </c>
      <c r="AA458" t="s">
        <v>89</v>
      </c>
      <c r="AL458" t="s">
        <v>61</v>
      </c>
    </row>
    <row r="459" spans="1:38" x14ac:dyDescent="0.25">
      <c r="A459" s="4">
        <v>34</v>
      </c>
      <c r="B459" t="s">
        <v>48</v>
      </c>
      <c r="C459" t="s">
        <v>49</v>
      </c>
      <c r="D459" s="5" t="s">
        <v>50</v>
      </c>
      <c r="E459" t="s">
        <v>51</v>
      </c>
      <c r="F459" s="6">
        <v>45160</v>
      </c>
      <c r="G459" s="7">
        <v>0.47222222222222199</v>
      </c>
      <c r="H459" t="s">
        <v>52</v>
      </c>
      <c r="I459" s="5">
        <v>23</v>
      </c>
      <c r="J459" t="s">
        <v>85</v>
      </c>
      <c r="K459" s="6">
        <v>45160</v>
      </c>
      <c r="L459" s="23">
        <v>0.70833333333333304</v>
      </c>
      <c r="M459" s="5">
        <v>119969</v>
      </c>
      <c r="N459" s="5" t="s">
        <v>69</v>
      </c>
      <c r="O459" s="8" t="s">
        <v>56</v>
      </c>
      <c r="Q459" t="s">
        <v>1061</v>
      </c>
      <c r="R459" s="5" t="s">
        <v>71</v>
      </c>
      <c r="S459" s="9">
        <v>10</v>
      </c>
      <c r="T459" s="9">
        <v>5</v>
      </c>
      <c r="U459" s="9">
        <v>5</v>
      </c>
      <c r="V459" s="10">
        <f>Table1[[#This Row],[MARGIN '[€']]]/Table1[[#This Row],[SALES '[€']]]</f>
        <v>0.5</v>
      </c>
      <c r="W459" s="5">
        <v>9215166820</v>
      </c>
      <c r="X459" s="5" t="s">
        <v>1062</v>
      </c>
      <c r="Y459" s="4">
        <v>261</v>
      </c>
      <c r="AA459" t="s">
        <v>89</v>
      </c>
      <c r="AL459" t="s">
        <v>61</v>
      </c>
    </row>
    <row r="460" spans="1:38" x14ac:dyDescent="0.25">
      <c r="A460" s="4">
        <v>34</v>
      </c>
      <c r="B460" t="s">
        <v>48</v>
      </c>
      <c r="C460" t="s">
        <v>49</v>
      </c>
      <c r="D460" s="5" t="s">
        <v>50</v>
      </c>
      <c r="E460" t="s">
        <v>51</v>
      </c>
      <c r="F460" s="6">
        <v>45160</v>
      </c>
      <c r="G460" s="7">
        <v>0.16666666666666699</v>
      </c>
      <c r="H460" t="s">
        <v>52</v>
      </c>
      <c r="I460" s="5">
        <v>35</v>
      </c>
      <c r="J460" t="s">
        <v>54</v>
      </c>
      <c r="K460" s="6">
        <v>45160</v>
      </c>
      <c r="L460" s="23">
        <v>0.75</v>
      </c>
      <c r="M460" s="5">
        <v>119995</v>
      </c>
      <c r="N460" s="5" t="s">
        <v>55</v>
      </c>
      <c r="O460" s="8" t="s">
        <v>56</v>
      </c>
      <c r="Q460" t="s">
        <v>62</v>
      </c>
      <c r="R460" s="5" t="s">
        <v>58</v>
      </c>
      <c r="S460" s="9">
        <v>10</v>
      </c>
      <c r="T460" s="9">
        <v>5</v>
      </c>
      <c r="U460" s="9">
        <v>5</v>
      </c>
      <c r="V460" s="10">
        <f>Table1[[#This Row],[MARGIN '[€']]]/Table1[[#This Row],[SALES '[€']]]</f>
        <v>0.5</v>
      </c>
      <c r="W460" s="5">
        <v>9215166821</v>
      </c>
      <c r="X460" s="5" t="s">
        <v>1063</v>
      </c>
      <c r="Y460" s="4">
        <v>82</v>
      </c>
      <c r="AA460" t="s">
        <v>89</v>
      </c>
      <c r="AL460" t="s">
        <v>61</v>
      </c>
    </row>
    <row r="461" spans="1:38" x14ac:dyDescent="0.25">
      <c r="A461" s="4">
        <v>34</v>
      </c>
      <c r="B461" t="s">
        <v>48</v>
      </c>
      <c r="C461" t="s">
        <v>49</v>
      </c>
      <c r="D461" s="5" t="s">
        <v>50</v>
      </c>
      <c r="E461" t="s">
        <v>51</v>
      </c>
      <c r="F461" s="6">
        <v>45160</v>
      </c>
      <c r="G461" s="7">
        <v>0.1875</v>
      </c>
      <c r="H461" t="s">
        <v>52</v>
      </c>
      <c r="I461" s="5">
        <v>35</v>
      </c>
      <c r="J461" t="s">
        <v>54</v>
      </c>
      <c r="K461" s="6">
        <v>45160</v>
      </c>
      <c r="L461" s="23">
        <v>0.75</v>
      </c>
      <c r="M461" s="5">
        <v>119996</v>
      </c>
      <c r="N461" s="5" t="s">
        <v>55</v>
      </c>
      <c r="O461" s="8" t="s">
        <v>56</v>
      </c>
      <c r="Q461" t="s">
        <v>57</v>
      </c>
      <c r="R461" s="5" t="s">
        <v>58</v>
      </c>
      <c r="S461" s="9">
        <v>10</v>
      </c>
      <c r="T461" s="9">
        <v>5</v>
      </c>
      <c r="U461" s="9">
        <v>5</v>
      </c>
      <c r="V461" s="10">
        <f>Table1[[#This Row],[MARGIN '[€']]]/Table1[[#This Row],[SALES '[€']]]</f>
        <v>0.5</v>
      </c>
      <c r="W461" s="5">
        <v>9215166823</v>
      </c>
      <c r="X461" s="5" t="s">
        <v>1064</v>
      </c>
      <c r="Y461" s="4">
        <v>82</v>
      </c>
      <c r="AA461" t="s">
        <v>89</v>
      </c>
      <c r="AL461" t="s">
        <v>61</v>
      </c>
    </row>
    <row r="462" spans="1:38" x14ac:dyDescent="0.25">
      <c r="A462" s="4">
        <v>34</v>
      </c>
      <c r="B462" t="s">
        <v>48</v>
      </c>
      <c r="C462" t="s">
        <v>49</v>
      </c>
      <c r="D462" s="5" t="s">
        <v>50</v>
      </c>
      <c r="E462" t="s">
        <v>51</v>
      </c>
      <c r="F462" s="6">
        <v>45160</v>
      </c>
      <c r="G462" s="7">
        <v>0.20833333333333301</v>
      </c>
      <c r="H462" t="s">
        <v>52</v>
      </c>
      <c r="I462" s="5">
        <v>35</v>
      </c>
      <c r="J462" t="s">
        <v>54</v>
      </c>
      <c r="K462" s="6">
        <v>45160</v>
      </c>
      <c r="L462" s="23">
        <v>0.75</v>
      </c>
      <c r="M462" s="5">
        <v>119997</v>
      </c>
      <c r="N462" s="5" t="s">
        <v>55</v>
      </c>
      <c r="O462" s="8" t="s">
        <v>56</v>
      </c>
      <c r="Q462" t="s">
        <v>64</v>
      </c>
      <c r="R462" s="5" t="s">
        <v>58</v>
      </c>
      <c r="S462" s="9">
        <v>10</v>
      </c>
      <c r="T462" s="9">
        <v>5</v>
      </c>
      <c r="U462" s="9">
        <v>5</v>
      </c>
      <c r="V462" s="10">
        <f>Table1[[#This Row],[MARGIN '[€']]]/Table1[[#This Row],[SALES '[€']]]</f>
        <v>0.5</v>
      </c>
      <c r="W462" s="5">
        <v>9215166825</v>
      </c>
      <c r="X462" s="5" t="s">
        <v>1065</v>
      </c>
      <c r="Y462" s="4">
        <v>82</v>
      </c>
      <c r="AA462" t="s">
        <v>89</v>
      </c>
      <c r="AL462" t="s">
        <v>61</v>
      </c>
    </row>
    <row r="463" spans="1:38" x14ac:dyDescent="0.25">
      <c r="A463" s="4">
        <v>34</v>
      </c>
      <c r="B463" t="s">
        <v>48</v>
      </c>
      <c r="C463" t="s">
        <v>49</v>
      </c>
      <c r="D463" s="5" t="s">
        <v>50</v>
      </c>
      <c r="E463" t="s">
        <v>51</v>
      </c>
      <c r="F463" s="6">
        <v>45160</v>
      </c>
      <c r="G463" s="7">
        <v>0.33333333333333298</v>
      </c>
      <c r="H463" t="s">
        <v>52</v>
      </c>
      <c r="I463" s="5">
        <v>35</v>
      </c>
      <c r="J463" t="s">
        <v>54</v>
      </c>
      <c r="K463" s="6">
        <v>45160</v>
      </c>
      <c r="L463" s="23">
        <v>0.75</v>
      </c>
      <c r="M463" s="5">
        <v>119998</v>
      </c>
      <c r="N463" s="5" t="s">
        <v>55</v>
      </c>
      <c r="O463" s="8" t="s">
        <v>56</v>
      </c>
      <c r="Q463" t="s">
        <v>62</v>
      </c>
      <c r="R463" s="5" t="s">
        <v>58</v>
      </c>
      <c r="S463" s="9">
        <v>10</v>
      </c>
      <c r="T463" s="9">
        <v>5</v>
      </c>
      <c r="U463" s="9">
        <v>5</v>
      </c>
      <c r="V463" s="10">
        <f>Table1[[#This Row],[MARGIN '[€']]]/Table1[[#This Row],[SALES '[€']]]</f>
        <v>0.5</v>
      </c>
      <c r="W463" s="5">
        <v>9215166822</v>
      </c>
      <c r="X463" s="5" t="s">
        <v>1063</v>
      </c>
      <c r="Y463" s="4">
        <v>82</v>
      </c>
      <c r="AA463" t="s">
        <v>89</v>
      </c>
      <c r="AL463" t="s">
        <v>61</v>
      </c>
    </row>
    <row r="464" spans="1:38" x14ac:dyDescent="0.25">
      <c r="A464" s="4">
        <v>34</v>
      </c>
      <c r="B464" t="s">
        <v>48</v>
      </c>
      <c r="C464" t="s">
        <v>49</v>
      </c>
      <c r="D464" s="5" t="s">
        <v>50</v>
      </c>
      <c r="E464" t="s">
        <v>51</v>
      </c>
      <c r="F464" s="6">
        <v>45160</v>
      </c>
      <c r="G464" s="7">
        <v>0.34722222222222199</v>
      </c>
      <c r="H464" t="s">
        <v>52</v>
      </c>
      <c r="I464" s="5">
        <v>35</v>
      </c>
      <c r="J464" t="s">
        <v>54</v>
      </c>
      <c r="K464" s="6">
        <v>45160</v>
      </c>
      <c r="L464" s="23">
        <v>0.75</v>
      </c>
      <c r="M464" s="5">
        <v>119999</v>
      </c>
      <c r="N464" s="5" t="s">
        <v>55</v>
      </c>
      <c r="O464" s="8" t="s">
        <v>56</v>
      </c>
      <c r="Q464" t="s">
        <v>57</v>
      </c>
      <c r="R464" s="5" t="s">
        <v>58</v>
      </c>
      <c r="S464" s="9">
        <v>10</v>
      </c>
      <c r="T464" s="9">
        <v>5</v>
      </c>
      <c r="U464" s="9">
        <v>5</v>
      </c>
      <c r="V464" s="10">
        <f>Table1[[#This Row],[MARGIN '[€']]]/Table1[[#This Row],[SALES '[€']]]</f>
        <v>0.5</v>
      </c>
      <c r="W464" s="5">
        <v>9215166824</v>
      </c>
      <c r="X464" s="5" t="s">
        <v>1064</v>
      </c>
      <c r="Y464" s="4">
        <v>82</v>
      </c>
      <c r="AA464" t="s">
        <v>89</v>
      </c>
      <c r="AL464" t="s">
        <v>61</v>
      </c>
    </row>
    <row r="465" spans="1:38" x14ac:dyDescent="0.25">
      <c r="A465" s="4">
        <v>34</v>
      </c>
      <c r="B465" t="s">
        <v>48</v>
      </c>
      <c r="C465" t="s">
        <v>49</v>
      </c>
      <c r="D465" s="5" t="s">
        <v>50</v>
      </c>
      <c r="E465" t="s">
        <v>51</v>
      </c>
      <c r="F465" s="6">
        <v>45160</v>
      </c>
      <c r="G465" s="7">
        <v>0.36111111111111099</v>
      </c>
      <c r="H465" t="s">
        <v>52</v>
      </c>
      <c r="I465" s="5">
        <v>35</v>
      </c>
      <c r="J465" t="s">
        <v>54</v>
      </c>
      <c r="K465" s="6">
        <v>45160</v>
      </c>
      <c r="L465" s="23">
        <v>0.75</v>
      </c>
      <c r="M465" s="5">
        <v>120000</v>
      </c>
      <c r="N465" s="5" t="s">
        <v>55</v>
      </c>
      <c r="O465" s="8" t="s">
        <v>56</v>
      </c>
      <c r="Q465" t="s">
        <v>64</v>
      </c>
      <c r="R465" s="5" t="s">
        <v>58</v>
      </c>
      <c r="S465" s="9">
        <v>10</v>
      </c>
      <c r="T465" s="9">
        <v>5</v>
      </c>
      <c r="U465" s="9">
        <v>5</v>
      </c>
      <c r="V465" s="10">
        <f>Table1[[#This Row],[MARGIN '[€']]]/Table1[[#This Row],[SALES '[€']]]</f>
        <v>0.5</v>
      </c>
      <c r="W465" s="5">
        <v>9215166826</v>
      </c>
      <c r="X465" s="5" t="s">
        <v>1065</v>
      </c>
      <c r="Y465" s="4">
        <v>82</v>
      </c>
      <c r="AA465" t="s">
        <v>89</v>
      </c>
      <c r="AL465" t="s">
        <v>61</v>
      </c>
    </row>
    <row r="466" spans="1:38" x14ac:dyDescent="0.25">
      <c r="A466" s="4">
        <v>34</v>
      </c>
      <c r="B466" t="s">
        <v>48</v>
      </c>
      <c r="C466" t="s">
        <v>49</v>
      </c>
      <c r="D466" s="5" t="s">
        <v>102</v>
      </c>
      <c r="E466" t="s">
        <v>103</v>
      </c>
      <c r="F466" s="6">
        <v>45160</v>
      </c>
      <c r="G466" s="7">
        <v>0.5</v>
      </c>
      <c r="H466" t="s">
        <v>49</v>
      </c>
      <c r="I466" s="5">
        <v>94</v>
      </c>
      <c r="J466" t="s">
        <v>110</v>
      </c>
      <c r="K466" s="6">
        <v>45161</v>
      </c>
      <c r="L466" s="23">
        <v>0.58333333333333304</v>
      </c>
      <c r="M466" s="5">
        <v>120032</v>
      </c>
      <c r="N466" s="5" t="s">
        <v>69</v>
      </c>
      <c r="O466" s="8" t="s">
        <v>56</v>
      </c>
      <c r="Q466" t="s">
        <v>944</v>
      </c>
      <c r="R466" s="5" t="s">
        <v>266</v>
      </c>
      <c r="S466" s="9">
        <v>10</v>
      </c>
      <c r="T466" s="9">
        <v>5</v>
      </c>
      <c r="U466" s="9">
        <v>5</v>
      </c>
      <c r="V466" s="10">
        <f>Table1[[#This Row],[MARGIN '[€']]]/Table1[[#This Row],[SALES '[€']]]</f>
        <v>0.5</v>
      </c>
      <c r="W466" s="5">
        <v>9215166783</v>
      </c>
      <c r="X466" s="5" t="s">
        <v>1066</v>
      </c>
      <c r="Y466" s="4">
        <v>345</v>
      </c>
      <c r="AA466" t="s">
        <v>89</v>
      </c>
      <c r="AL466" t="s">
        <v>61</v>
      </c>
    </row>
    <row r="467" spans="1:38" x14ac:dyDescent="0.25">
      <c r="A467" s="4">
        <v>34</v>
      </c>
      <c r="B467" t="s">
        <v>48</v>
      </c>
      <c r="C467" t="s">
        <v>49</v>
      </c>
      <c r="D467" s="5" t="s">
        <v>50</v>
      </c>
      <c r="E467" t="s">
        <v>51</v>
      </c>
      <c r="F467" s="6">
        <v>45160</v>
      </c>
      <c r="G467" s="7">
        <v>0.22916666666666699</v>
      </c>
      <c r="H467" t="s">
        <v>90</v>
      </c>
      <c r="I467" s="5">
        <v>24</v>
      </c>
      <c r="J467" t="s">
        <v>92</v>
      </c>
      <c r="K467" s="6">
        <v>45160</v>
      </c>
      <c r="L467" s="23">
        <v>0.61805555555555602</v>
      </c>
      <c r="M467" s="5">
        <v>120055</v>
      </c>
      <c r="N467" s="5" t="s">
        <v>69</v>
      </c>
      <c r="O467" s="8" t="s">
        <v>56</v>
      </c>
      <c r="Q467" t="s">
        <v>1067</v>
      </c>
      <c r="R467" s="5" t="s">
        <v>94</v>
      </c>
      <c r="S467" s="9">
        <v>10</v>
      </c>
      <c r="T467" s="9">
        <v>5</v>
      </c>
      <c r="U467" s="9">
        <v>5</v>
      </c>
      <c r="V467" s="10">
        <f>Table1[[#This Row],[MARGIN '[€']]]/Table1[[#This Row],[SALES '[€']]]</f>
        <v>0.5</v>
      </c>
      <c r="W467" s="5">
        <v>9215166779</v>
      </c>
      <c r="X467" s="5" t="s">
        <v>1068</v>
      </c>
      <c r="Y467" s="4">
        <v>441</v>
      </c>
      <c r="Z467" t="s">
        <v>1069</v>
      </c>
      <c r="AA467" t="s">
        <v>89</v>
      </c>
      <c r="AL467" t="s">
        <v>61</v>
      </c>
    </row>
    <row r="468" spans="1:38" x14ac:dyDescent="0.25">
      <c r="A468" s="4">
        <v>34</v>
      </c>
      <c r="B468" t="s">
        <v>48</v>
      </c>
      <c r="C468" t="s">
        <v>49</v>
      </c>
      <c r="D468" s="5" t="s">
        <v>50</v>
      </c>
      <c r="E468" t="s">
        <v>51</v>
      </c>
      <c r="F468" s="6">
        <v>45160</v>
      </c>
      <c r="G468" s="7" t="s">
        <v>1050</v>
      </c>
      <c r="H468" t="s">
        <v>90</v>
      </c>
      <c r="I468" s="5">
        <v>24</v>
      </c>
      <c r="J468" t="s">
        <v>92</v>
      </c>
      <c r="K468" s="6">
        <v>45161</v>
      </c>
      <c r="L468" s="23" t="s">
        <v>210</v>
      </c>
      <c r="M468" s="5">
        <v>120057</v>
      </c>
      <c r="N468" s="5" t="s">
        <v>69</v>
      </c>
      <c r="O468" s="8" t="s">
        <v>56</v>
      </c>
      <c r="P468" t="s">
        <v>76</v>
      </c>
      <c r="Q468" t="s">
        <v>117</v>
      </c>
      <c r="R468" s="5" t="s">
        <v>118</v>
      </c>
      <c r="S468" s="9">
        <v>10</v>
      </c>
      <c r="T468" s="9">
        <v>5</v>
      </c>
      <c r="U468" s="9">
        <v>5</v>
      </c>
      <c r="V468" s="10">
        <f>Table1[[#This Row],[MARGIN '[€']]]/Table1[[#This Row],[SALES '[€']]]</f>
        <v>0.5</v>
      </c>
      <c r="Y468" s="4">
        <v>441</v>
      </c>
      <c r="Z468" t="s">
        <v>1070</v>
      </c>
      <c r="AA468" t="s">
        <v>89</v>
      </c>
      <c r="AL468" t="s">
        <v>214</v>
      </c>
    </row>
    <row r="469" spans="1:38" x14ac:dyDescent="0.25">
      <c r="A469" s="4">
        <v>34</v>
      </c>
      <c r="B469" t="s">
        <v>48</v>
      </c>
      <c r="C469" t="s">
        <v>49</v>
      </c>
      <c r="D469" s="5" t="s">
        <v>50</v>
      </c>
      <c r="E469" t="s">
        <v>51</v>
      </c>
      <c r="F469" s="6">
        <v>45160</v>
      </c>
      <c r="G469" s="7" t="s">
        <v>1050</v>
      </c>
      <c r="H469" t="s">
        <v>90</v>
      </c>
      <c r="I469" s="5">
        <v>24</v>
      </c>
      <c r="J469" t="s">
        <v>92</v>
      </c>
      <c r="K469" s="6">
        <v>45161</v>
      </c>
      <c r="L469" s="23" t="s">
        <v>210</v>
      </c>
      <c r="M469" s="5">
        <v>120058</v>
      </c>
      <c r="N469" s="5" t="s">
        <v>69</v>
      </c>
      <c r="O469" s="8" t="s">
        <v>56</v>
      </c>
      <c r="R469" s="5" t="s">
        <v>94</v>
      </c>
      <c r="S469" s="9">
        <v>10</v>
      </c>
      <c r="T469" s="9">
        <v>5</v>
      </c>
      <c r="U469" s="9">
        <v>5</v>
      </c>
      <c r="V469" s="10">
        <f>Table1[[#This Row],[MARGIN '[€']]]/Table1[[#This Row],[SALES '[€']]]</f>
        <v>0.5</v>
      </c>
      <c r="Y469" s="4">
        <v>441</v>
      </c>
      <c r="Z469" t="s">
        <v>1071</v>
      </c>
      <c r="AA469" t="s">
        <v>89</v>
      </c>
      <c r="AL469" t="s">
        <v>214</v>
      </c>
    </row>
    <row r="470" spans="1:38" x14ac:dyDescent="0.25">
      <c r="A470" s="4">
        <v>34</v>
      </c>
      <c r="B470" t="s">
        <v>48</v>
      </c>
      <c r="C470" t="s">
        <v>49</v>
      </c>
      <c r="D470" s="5" t="s">
        <v>50</v>
      </c>
      <c r="E470" t="s">
        <v>51</v>
      </c>
      <c r="F470" s="6">
        <v>45160</v>
      </c>
      <c r="G470" s="7" t="s">
        <v>1050</v>
      </c>
      <c r="H470" t="s">
        <v>90</v>
      </c>
      <c r="I470" s="5">
        <v>24</v>
      </c>
      <c r="J470" t="s">
        <v>92</v>
      </c>
      <c r="K470" s="6">
        <v>45161</v>
      </c>
      <c r="L470" s="23" t="s">
        <v>210</v>
      </c>
      <c r="M470" s="5">
        <v>120060</v>
      </c>
      <c r="N470" s="5" t="s">
        <v>69</v>
      </c>
      <c r="O470" s="8" t="s">
        <v>56</v>
      </c>
      <c r="R470" s="5" t="s">
        <v>98</v>
      </c>
      <c r="S470" s="9">
        <v>10</v>
      </c>
      <c r="T470" s="9">
        <v>5</v>
      </c>
      <c r="U470" s="9">
        <v>5</v>
      </c>
      <c r="V470" s="10">
        <f>Table1[[#This Row],[MARGIN '[€']]]/Table1[[#This Row],[SALES '[€']]]</f>
        <v>0.5</v>
      </c>
      <c r="Y470" s="4">
        <v>441</v>
      </c>
      <c r="Z470" t="s">
        <v>1072</v>
      </c>
      <c r="AA470" t="s">
        <v>89</v>
      </c>
      <c r="AL470" t="s">
        <v>214</v>
      </c>
    </row>
    <row r="471" spans="1:38" x14ac:dyDescent="0.25">
      <c r="A471" s="4">
        <v>34</v>
      </c>
      <c r="B471" t="s">
        <v>48</v>
      </c>
      <c r="C471" t="s">
        <v>49</v>
      </c>
      <c r="D471" s="5" t="s">
        <v>50</v>
      </c>
      <c r="E471" t="s">
        <v>51</v>
      </c>
      <c r="F471" s="6">
        <v>45160</v>
      </c>
      <c r="G471" s="7">
        <v>0.58333333333333304</v>
      </c>
      <c r="H471" t="s">
        <v>90</v>
      </c>
      <c r="I471" s="5">
        <v>24</v>
      </c>
      <c r="J471" t="s">
        <v>92</v>
      </c>
      <c r="K471" s="6">
        <v>45161</v>
      </c>
      <c r="L471" s="23">
        <v>0.49652777777777801</v>
      </c>
      <c r="M471" s="5">
        <v>120061</v>
      </c>
      <c r="N471" s="5" t="s">
        <v>69</v>
      </c>
      <c r="O471" s="8" t="s">
        <v>56</v>
      </c>
      <c r="Q471" t="s">
        <v>462</v>
      </c>
      <c r="R471" s="5" t="s">
        <v>98</v>
      </c>
      <c r="S471" s="9">
        <v>10</v>
      </c>
      <c r="T471" s="9">
        <v>5</v>
      </c>
      <c r="U471" s="9">
        <v>5</v>
      </c>
      <c r="V471" s="10">
        <f>Table1[[#This Row],[MARGIN '[€']]]/Table1[[#This Row],[SALES '[€']]]</f>
        <v>0.5</v>
      </c>
      <c r="W471" s="5">
        <v>9215166840</v>
      </c>
      <c r="X471" s="5" t="s">
        <v>1073</v>
      </c>
      <c r="Y471" s="4">
        <v>441</v>
      </c>
      <c r="Z471" t="s">
        <v>1074</v>
      </c>
      <c r="AA471" t="s">
        <v>89</v>
      </c>
      <c r="AL471" t="s">
        <v>61</v>
      </c>
    </row>
    <row r="472" spans="1:38" x14ac:dyDescent="0.25">
      <c r="A472" s="4">
        <v>34</v>
      </c>
      <c r="B472" t="s">
        <v>137</v>
      </c>
      <c r="C472" t="s">
        <v>49</v>
      </c>
      <c r="D472" s="5" t="s">
        <v>50</v>
      </c>
      <c r="E472" t="s">
        <v>51</v>
      </c>
      <c r="F472" s="6">
        <v>45160</v>
      </c>
      <c r="G472" s="7">
        <v>0.5</v>
      </c>
      <c r="H472" t="s">
        <v>49</v>
      </c>
      <c r="I472" s="5" t="s">
        <v>102</v>
      </c>
      <c r="J472" t="s">
        <v>103</v>
      </c>
      <c r="K472" s="6">
        <v>45160</v>
      </c>
      <c r="L472" s="23">
        <v>0.5625</v>
      </c>
      <c r="M472" s="5" t="s">
        <v>1075</v>
      </c>
      <c r="N472" s="5" t="s">
        <v>69</v>
      </c>
      <c r="O472" s="8" t="s">
        <v>56</v>
      </c>
      <c r="Q472" t="s">
        <v>117</v>
      </c>
      <c r="R472" s="5" t="s">
        <v>118</v>
      </c>
      <c r="S472" s="9">
        <v>10</v>
      </c>
      <c r="T472" s="9">
        <v>5</v>
      </c>
      <c r="U472" s="9">
        <v>5</v>
      </c>
      <c r="V472" s="10">
        <f>Table1[[#This Row],[MARGIN '[€']]]/Table1[[#This Row],[SALES '[€']]]</f>
        <v>0.5</v>
      </c>
      <c r="W472" s="5">
        <v>9215166842</v>
      </c>
      <c r="X472" s="5" t="s">
        <v>1076</v>
      </c>
      <c r="Y472" s="4">
        <v>57</v>
      </c>
      <c r="AA472" t="s">
        <v>89</v>
      </c>
      <c r="AL472" t="s">
        <v>61</v>
      </c>
    </row>
    <row r="473" spans="1:38" x14ac:dyDescent="0.25">
      <c r="A473" s="4">
        <v>34</v>
      </c>
      <c r="B473" t="s">
        <v>137</v>
      </c>
      <c r="C473" t="s">
        <v>49</v>
      </c>
      <c r="D473" s="5" t="s">
        <v>50</v>
      </c>
      <c r="E473" t="s">
        <v>51</v>
      </c>
      <c r="F473" s="6">
        <v>45160</v>
      </c>
      <c r="G473" s="7">
        <v>0.38888888888888901</v>
      </c>
      <c r="H473" t="s">
        <v>49</v>
      </c>
      <c r="I473" s="5" t="s">
        <v>102</v>
      </c>
      <c r="J473" t="s">
        <v>103</v>
      </c>
      <c r="K473" s="6">
        <v>45160</v>
      </c>
      <c r="L473" s="23">
        <v>0.45833333333333298</v>
      </c>
      <c r="M473" s="5" t="s">
        <v>1077</v>
      </c>
      <c r="N473" s="5" t="s">
        <v>55</v>
      </c>
      <c r="O473" s="8" t="s">
        <v>56</v>
      </c>
      <c r="Q473" t="s">
        <v>791</v>
      </c>
      <c r="R473" s="5" t="s">
        <v>94</v>
      </c>
      <c r="S473" s="9">
        <v>10</v>
      </c>
      <c r="T473" s="9">
        <v>5</v>
      </c>
      <c r="U473" s="9">
        <v>5</v>
      </c>
      <c r="V473" s="10">
        <f>Table1[[#This Row],[MARGIN '[€']]]/Table1[[#This Row],[SALES '[€']]]</f>
        <v>0.5</v>
      </c>
      <c r="W473" s="5">
        <v>9215166844</v>
      </c>
      <c r="X473" s="5" t="s">
        <v>1078</v>
      </c>
      <c r="Y473" s="4">
        <v>57</v>
      </c>
      <c r="AA473" t="s">
        <v>89</v>
      </c>
      <c r="AL473" t="s">
        <v>61</v>
      </c>
    </row>
    <row r="474" spans="1:38" x14ac:dyDescent="0.25">
      <c r="A474" s="4">
        <v>34</v>
      </c>
      <c r="B474" t="s">
        <v>170</v>
      </c>
      <c r="C474" t="s">
        <v>153</v>
      </c>
      <c r="D474" s="5" t="s">
        <v>171</v>
      </c>
      <c r="E474" t="s">
        <v>172</v>
      </c>
      <c r="F474" s="6">
        <v>45161</v>
      </c>
      <c r="G474" s="7">
        <v>0.5</v>
      </c>
      <c r="H474" t="s">
        <v>49</v>
      </c>
      <c r="I474" s="5" t="s">
        <v>156</v>
      </c>
      <c r="J474" t="s">
        <v>173</v>
      </c>
      <c r="K474" s="6">
        <v>45166</v>
      </c>
      <c r="L474" s="23">
        <v>0.41666666666666702</v>
      </c>
      <c r="M474" s="5">
        <v>568048</v>
      </c>
      <c r="N474" s="5" t="s">
        <v>55</v>
      </c>
      <c r="O474" s="8" t="s">
        <v>159</v>
      </c>
      <c r="P474">
        <v>2210</v>
      </c>
      <c r="Q474" t="s">
        <v>1079</v>
      </c>
      <c r="R474" s="5" t="s">
        <v>161</v>
      </c>
      <c r="S474" s="9">
        <v>10</v>
      </c>
      <c r="T474" s="9">
        <v>5</v>
      </c>
      <c r="U474" s="9">
        <v>5</v>
      </c>
      <c r="V474" s="10">
        <f>Table1[[#This Row],[MARGIN '[€']]]/Table1[[#This Row],[SALES '[€']]]</f>
        <v>0.5</v>
      </c>
      <c r="W474" s="5">
        <v>3800169722</v>
      </c>
      <c r="X474" s="5" t="s">
        <v>1080</v>
      </c>
      <c r="Y474" s="4">
        <v>1776</v>
      </c>
      <c r="AA474" t="s">
        <v>60</v>
      </c>
      <c r="AD474">
        <v>13</v>
      </c>
      <c r="AE474" s="3">
        <v>4</v>
      </c>
      <c r="AL474" t="s">
        <v>61</v>
      </c>
    </row>
    <row r="475" spans="1:38" x14ac:dyDescent="0.25">
      <c r="A475" s="4">
        <v>34</v>
      </c>
      <c r="B475" t="s">
        <v>234</v>
      </c>
      <c r="C475" t="s">
        <v>49</v>
      </c>
      <c r="D475" s="5" t="s">
        <v>50</v>
      </c>
      <c r="E475" t="s">
        <v>235</v>
      </c>
      <c r="F475" s="6">
        <v>45161</v>
      </c>
      <c r="G475" s="7">
        <v>0.3125</v>
      </c>
      <c r="H475" t="s">
        <v>726</v>
      </c>
      <c r="I475" s="5" t="s">
        <v>727</v>
      </c>
      <c r="J475" t="s">
        <v>728</v>
      </c>
      <c r="K475" s="6">
        <v>45163</v>
      </c>
      <c r="L475" s="23">
        <v>0.5</v>
      </c>
      <c r="M475" s="5">
        <v>3682605068103</v>
      </c>
      <c r="N475" s="5" t="s">
        <v>723</v>
      </c>
      <c r="O475" s="8" t="s">
        <v>450</v>
      </c>
      <c r="P475">
        <v>650</v>
      </c>
      <c r="Q475" t="s">
        <v>729</v>
      </c>
      <c r="R475" s="5" t="s">
        <v>730</v>
      </c>
      <c r="S475" s="9">
        <v>10</v>
      </c>
      <c r="T475" s="9">
        <v>5</v>
      </c>
      <c r="U475" s="9">
        <v>5</v>
      </c>
      <c r="V475" s="10">
        <f>Table1[[#This Row],[MARGIN '[€']]]/Table1[[#This Row],[SALES '[€']]]</f>
        <v>0.5</v>
      </c>
      <c r="W475" s="5" t="s">
        <v>1081</v>
      </c>
      <c r="X475" s="5" t="s">
        <v>1082</v>
      </c>
      <c r="Y475" s="4">
        <v>2007</v>
      </c>
      <c r="AA475" t="s">
        <v>191</v>
      </c>
      <c r="AD475">
        <v>6</v>
      </c>
      <c r="AE475" s="3">
        <v>4</v>
      </c>
      <c r="AL475" t="s">
        <v>61</v>
      </c>
    </row>
    <row r="476" spans="1:38" x14ac:dyDescent="0.25">
      <c r="A476" s="4">
        <v>34</v>
      </c>
      <c r="B476" t="s">
        <v>333</v>
      </c>
      <c r="C476" t="s">
        <v>49</v>
      </c>
      <c r="D476" s="5" t="s">
        <v>334</v>
      </c>
      <c r="E476" t="s">
        <v>335</v>
      </c>
      <c r="F476" s="6">
        <v>45161</v>
      </c>
      <c r="G476" s="7">
        <v>0.58333333333333304</v>
      </c>
      <c r="H476" t="s">
        <v>138</v>
      </c>
      <c r="I476" s="5">
        <v>41</v>
      </c>
      <c r="J476" t="s">
        <v>571</v>
      </c>
      <c r="K476" s="6">
        <v>45167</v>
      </c>
      <c r="L476" s="23">
        <v>0.375</v>
      </c>
      <c r="M476" s="5">
        <v>1002929137</v>
      </c>
      <c r="N476" s="5" t="s">
        <v>337</v>
      </c>
      <c r="O476" s="8" t="s">
        <v>338</v>
      </c>
      <c r="P476" t="s">
        <v>393</v>
      </c>
      <c r="Q476" t="s">
        <v>1083</v>
      </c>
      <c r="R476" s="5" t="s">
        <v>399</v>
      </c>
      <c r="S476" s="9">
        <v>10</v>
      </c>
      <c r="T476" s="9">
        <v>5</v>
      </c>
      <c r="U476" s="9">
        <v>5</v>
      </c>
      <c r="V476" s="10">
        <f>Table1[[#This Row],[MARGIN '[€']]]/Table1[[#This Row],[SALES '[€']]]</f>
        <v>0.5</v>
      </c>
      <c r="W476" s="5" t="s">
        <v>1084</v>
      </c>
      <c r="X476" s="5" t="s">
        <v>1085</v>
      </c>
      <c r="Y476" s="4">
        <v>1775</v>
      </c>
      <c r="Z476" t="s">
        <v>339</v>
      </c>
      <c r="AA476" t="s">
        <v>342</v>
      </c>
      <c r="AL476" t="s">
        <v>61</v>
      </c>
    </row>
    <row r="477" spans="1:38" x14ac:dyDescent="0.25">
      <c r="A477" s="4">
        <v>34</v>
      </c>
      <c r="B477" t="s">
        <v>333</v>
      </c>
      <c r="C477" t="s">
        <v>49</v>
      </c>
      <c r="D477" s="5" t="s">
        <v>334</v>
      </c>
      <c r="E477" t="s">
        <v>335</v>
      </c>
      <c r="F477" s="6">
        <v>45161</v>
      </c>
      <c r="G477" s="7">
        <v>0.79166666666666696</v>
      </c>
      <c r="H477" t="s">
        <v>138</v>
      </c>
      <c r="I477" s="5">
        <v>91</v>
      </c>
      <c r="J477" t="s">
        <v>1086</v>
      </c>
      <c r="K477" s="6">
        <v>45167</v>
      </c>
      <c r="L477" s="23">
        <v>0.35416666666666702</v>
      </c>
      <c r="M477" s="5">
        <v>1002939560</v>
      </c>
      <c r="N477" s="5" t="s">
        <v>337</v>
      </c>
      <c r="O477" s="8" t="s">
        <v>338</v>
      </c>
      <c r="P477" t="s">
        <v>393</v>
      </c>
      <c r="Q477" t="s">
        <v>1087</v>
      </c>
      <c r="R477" s="5" t="s">
        <v>513</v>
      </c>
      <c r="S477" s="9">
        <v>10</v>
      </c>
      <c r="T477" s="9">
        <v>5</v>
      </c>
      <c r="U477" s="9">
        <v>5</v>
      </c>
      <c r="V477" s="10">
        <f>Table1[[#This Row],[MARGIN '[€']]]/Table1[[#This Row],[SALES '[€']]]</f>
        <v>0.5</v>
      </c>
      <c r="W477" s="5">
        <v>9215166691</v>
      </c>
      <c r="X477" s="5" t="s">
        <v>1088</v>
      </c>
      <c r="Y477" s="4">
        <v>1595</v>
      </c>
      <c r="AA477" t="s">
        <v>342</v>
      </c>
      <c r="AL477" t="s">
        <v>61</v>
      </c>
    </row>
    <row r="478" spans="1:38" x14ac:dyDescent="0.25">
      <c r="A478" s="4">
        <v>34</v>
      </c>
      <c r="B478" t="s">
        <v>333</v>
      </c>
      <c r="C478" t="s">
        <v>49</v>
      </c>
      <c r="D478" s="5" t="s">
        <v>334</v>
      </c>
      <c r="E478" t="s">
        <v>335</v>
      </c>
      <c r="F478" s="6">
        <v>45161</v>
      </c>
      <c r="G478" s="7">
        <v>0.79166666666666696</v>
      </c>
      <c r="H478" t="s">
        <v>138</v>
      </c>
      <c r="I478" s="5">
        <v>77</v>
      </c>
      <c r="J478" t="s">
        <v>392</v>
      </c>
      <c r="K478" s="6">
        <v>45166</v>
      </c>
      <c r="L478" s="23" t="s">
        <v>568</v>
      </c>
      <c r="M478" s="5">
        <v>1002928111</v>
      </c>
      <c r="N478" s="5" t="s">
        <v>337</v>
      </c>
      <c r="O478" s="8" t="s">
        <v>338</v>
      </c>
      <c r="P478" t="s">
        <v>339</v>
      </c>
      <c r="S478" s="9">
        <v>10</v>
      </c>
      <c r="T478" s="9">
        <v>5</v>
      </c>
      <c r="U478" s="9">
        <v>5</v>
      </c>
      <c r="V478" s="10">
        <f>Table1[[#This Row],[MARGIN '[€']]]/Table1[[#This Row],[SALES '[€']]]</f>
        <v>0.5</v>
      </c>
      <c r="W478" s="5" t="s">
        <v>339</v>
      </c>
      <c r="X478" s="5" t="s">
        <v>339</v>
      </c>
      <c r="Y478" s="4">
        <v>1571</v>
      </c>
      <c r="Z478" t="s">
        <v>339</v>
      </c>
      <c r="AA478" t="s">
        <v>339</v>
      </c>
      <c r="AL478" t="s">
        <v>214</v>
      </c>
    </row>
    <row r="479" spans="1:38" x14ac:dyDescent="0.25">
      <c r="A479" s="4">
        <v>34</v>
      </c>
      <c r="B479" t="s">
        <v>333</v>
      </c>
      <c r="C479" t="s">
        <v>49</v>
      </c>
      <c r="D479" s="5" t="s">
        <v>334</v>
      </c>
      <c r="E479" t="s">
        <v>335</v>
      </c>
      <c r="F479" s="6">
        <v>45161</v>
      </c>
      <c r="G479" s="7">
        <v>0.52083333333333304</v>
      </c>
      <c r="H479" t="s">
        <v>138</v>
      </c>
      <c r="I479" s="5">
        <v>77</v>
      </c>
      <c r="J479" t="s">
        <v>392</v>
      </c>
      <c r="K479" s="6">
        <v>45167</v>
      </c>
      <c r="L479" s="23">
        <v>0.29166666666666702</v>
      </c>
      <c r="M479" s="5">
        <v>1002929141</v>
      </c>
      <c r="N479" s="5" t="s">
        <v>337</v>
      </c>
      <c r="O479" s="8" t="s">
        <v>338</v>
      </c>
      <c r="P479" t="s">
        <v>393</v>
      </c>
      <c r="Q479" t="s">
        <v>1089</v>
      </c>
      <c r="R479" s="5" t="s">
        <v>399</v>
      </c>
      <c r="S479" s="9">
        <v>10</v>
      </c>
      <c r="T479" s="9">
        <v>5</v>
      </c>
      <c r="U479" s="9">
        <v>5</v>
      </c>
      <c r="V479" s="10">
        <f>Table1[[#This Row],[MARGIN '[€']]]/Table1[[#This Row],[SALES '[€']]]</f>
        <v>0.5</v>
      </c>
      <c r="W479" s="5">
        <v>9215166606</v>
      </c>
      <c r="X479" s="5" t="s">
        <v>1090</v>
      </c>
      <c r="Y479" s="4">
        <v>1571</v>
      </c>
      <c r="Z479" t="s">
        <v>339</v>
      </c>
      <c r="AA479" t="s">
        <v>342</v>
      </c>
      <c r="AL479" t="s">
        <v>61</v>
      </c>
    </row>
    <row r="480" spans="1:38" x14ac:dyDescent="0.25">
      <c r="A480" s="4">
        <v>34</v>
      </c>
      <c r="B480" t="s">
        <v>333</v>
      </c>
      <c r="C480" t="s">
        <v>49</v>
      </c>
      <c r="D480" s="5" t="s">
        <v>334</v>
      </c>
      <c r="E480" t="s">
        <v>335</v>
      </c>
      <c r="F480" s="6">
        <v>45161</v>
      </c>
      <c r="G480" s="7">
        <v>0.79166666666666696</v>
      </c>
      <c r="H480" t="s">
        <v>138</v>
      </c>
      <c r="I480" s="5">
        <v>59</v>
      </c>
      <c r="J480" t="s">
        <v>563</v>
      </c>
      <c r="K480" s="6">
        <v>45166</v>
      </c>
      <c r="L480" s="23">
        <v>0.54166666666666696</v>
      </c>
      <c r="M480" s="5">
        <v>1002928110</v>
      </c>
      <c r="N480" s="5" t="s">
        <v>337</v>
      </c>
      <c r="O480" s="8" t="s">
        <v>338</v>
      </c>
      <c r="P480" t="s">
        <v>393</v>
      </c>
      <c r="Q480" t="s">
        <v>1091</v>
      </c>
      <c r="R480" s="5" t="s">
        <v>641</v>
      </c>
      <c r="S480" s="9">
        <v>10</v>
      </c>
      <c r="T480" s="9">
        <v>5</v>
      </c>
      <c r="U480" s="9">
        <v>5</v>
      </c>
      <c r="V480" s="10">
        <f>Table1[[#This Row],[MARGIN '[€']]]/Table1[[#This Row],[SALES '[€']]]</f>
        <v>0.5</v>
      </c>
      <c r="W480" s="5" t="s">
        <v>1092</v>
      </c>
      <c r="X480" s="5" t="s">
        <v>1093</v>
      </c>
      <c r="Y480" s="4">
        <v>1562</v>
      </c>
      <c r="Z480" t="s">
        <v>339</v>
      </c>
      <c r="AA480" t="s">
        <v>342</v>
      </c>
      <c r="AL480" t="s">
        <v>61</v>
      </c>
    </row>
    <row r="481" spans="1:40" x14ac:dyDescent="0.25">
      <c r="A481" s="4">
        <v>34</v>
      </c>
      <c r="B481" t="s">
        <v>333</v>
      </c>
      <c r="C481" t="s">
        <v>49</v>
      </c>
      <c r="D481" s="5" t="s">
        <v>334</v>
      </c>
      <c r="E481" t="s">
        <v>335</v>
      </c>
      <c r="F481" s="6">
        <v>45161</v>
      </c>
      <c r="G481" s="7">
        <v>0.70833333333333304</v>
      </c>
      <c r="H481" t="s">
        <v>138</v>
      </c>
      <c r="I481" s="5">
        <v>59</v>
      </c>
      <c r="J481" t="s">
        <v>563</v>
      </c>
      <c r="K481" s="6">
        <v>45166</v>
      </c>
      <c r="L481" s="23">
        <v>0.66666666666666696</v>
      </c>
      <c r="M481" s="5">
        <v>1002928114</v>
      </c>
      <c r="N481" s="5" t="s">
        <v>337</v>
      </c>
      <c r="O481" s="8" t="s">
        <v>338</v>
      </c>
      <c r="P481" t="s">
        <v>393</v>
      </c>
      <c r="Q481" t="s">
        <v>885</v>
      </c>
      <c r="R481" s="5" t="s">
        <v>611</v>
      </c>
      <c r="S481" s="9">
        <v>10</v>
      </c>
      <c r="T481" s="9">
        <v>5</v>
      </c>
      <c r="U481" s="9">
        <v>5</v>
      </c>
      <c r="V481" s="10">
        <f>Table1[[#This Row],[MARGIN '[€']]]/Table1[[#This Row],[SALES '[€']]]</f>
        <v>0.5</v>
      </c>
      <c r="W481" s="5" t="s">
        <v>1094</v>
      </c>
      <c r="X481" s="5" t="s">
        <v>1095</v>
      </c>
      <c r="Y481" s="4">
        <v>1650</v>
      </c>
      <c r="Z481">
        <v>82</v>
      </c>
      <c r="AA481" t="s">
        <v>163</v>
      </c>
      <c r="AL481" t="s">
        <v>61</v>
      </c>
      <c r="AN481">
        <v>921</v>
      </c>
    </row>
    <row r="482" spans="1:40" x14ac:dyDescent="0.25">
      <c r="A482" s="4">
        <v>34</v>
      </c>
      <c r="B482" t="s">
        <v>333</v>
      </c>
      <c r="C482" t="s">
        <v>49</v>
      </c>
      <c r="D482" s="5" t="s">
        <v>334</v>
      </c>
      <c r="E482" t="s">
        <v>335</v>
      </c>
      <c r="F482" s="6">
        <v>45161</v>
      </c>
      <c r="G482" s="7">
        <v>0.70833333333333304</v>
      </c>
      <c r="H482" t="s">
        <v>138</v>
      </c>
      <c r="I482" s="5">
        <v>44</v>
      </c>
      <c r="J482" t="s">
        <v>1096</v>
      </c>
      <c r="K482" s="6">
        <v>45166</v>
      </c>
      <c r="L482" s="3">
        <v>0.5</v>
      </c>
      <c r="M482" s="5">
        <v>1002928117</v>
      </c>
      <c r="N482" s="5" t="s">
        <v>337</v>
      </c>
      <c r="O482" s="8" t="s">
        <v>338</v>
      </c>
      <c r="P482" t="s">
        <v>393</v>
      </c>
      <c r="Q482" t="s">
        <v>229</v>
      </c>
      <c r="R482" s="5" t="s">
        <v>145</v>
      </c>
      <c r="S482" s="9">
        <v>10</v>
      </c>
      <c r="T482" s="9">
        <v>5</v>
      </c>
      <c r="U482" s="9">
        <v>5</v>
      </c>
      <c r="V482" s="10">
        <f>Table1[[#This Row],[MARGIN '[€']]]/Table1[[#This Row],[SALES '[€']]]</f>
        <v>0.5</v>
      </c>
      <c r="W482" s="5">
        <v>9215166694</v>
      </c>
      <c r="X482" s="5" t="s">
        <v>1097</v>
      </c>
      <c r="Y482" s="4">
        <v>1970</v>
      </c>
      <c r="Z482" t="s">
        <v>339</v>
      </c>
      <c r="AA482" t="s">
        <v>342</v>
      </c>
      <c r="AL482" t="s">
        <v>61</v>
      </c>
    </row>
    <row r="483" spans="1:40" x14ac:dyDescent="0.25">
      <c r="A483" s="4">
        <v>34</v>
      </c>
      <c r="B483" t="s">
        <v>333</v>
      </c>
      <c r="C483" t="s">
        <v>49</v>
      </c>
      <c r="D483" s="5" t="s">
        <v>334</v>
      </c>
      <c r="E483" t="s">
        <v>335</v>
      </c>
      <c r="F483" s="6">
        <v>45161</v>
      </c>
      <c r="G483" s="7">
        <v>0.70833333333333304</v>
      </c>
      <c r="H483" t="s">
        <v>138</v>
      </c>
      <c r="I483" s="5">
        <v>41</v>
      </c>
      <c r="J483" t="s">
        <v>571</v>
      </c>
      <c r="K483" s="6">
        <v>45167</v>
      </c>
      <c r="L483" s="23">
        <v>0.625</v>
      </c>
      <c r="M483" s="5">
        <v>1002929132</v>
      </c>
      <c r="N483" s="5" t="s">
        <v>337</v>
      </c>
      <c r="O483" s="8" t="s">
        <v>338</v>
      </c>
      <c r="P483" t="s">
        <v>393</v>
      </c>
      <c r="Q483" t="s">
        <v>1098</v>
      </c>
      <c r="R483" s="5" t="s">
        <v>738</v>
      </c>
      <c r="S483" s="9">
        <v>10</v>
      </c>
      <c r="T483" s="9">
        <v>5</v>
      </c>
      <c r="U483" s="9">
        <v>5</v>
      </c>
      <c r="V483" s="10">
        <f>Table1[[#This Row],[MARGIN '[€']]]/Table1[[#This Row],[SALES '[€']]]</f>
        <v>0.5</v>
      </c>
      <c r="W483" s="5" t="s">
        <v>1099</v>
      </c>
      <c r="X483" s="5" t="s">
        <v>1100</v>
      </c>
      <c r="Y483" s="4">
        <v>1775</v>
      </c>
      <c r="Z483" t="s">
        <v>339</v>
      </c>
      <c r="AA483" t="s">
        <v>342</v>
      </c>
      <c r="AL483" t="s">
        <v>61</v>
      </c>
    </row>
    <row r="484" spans="1:40" x14ac:dyDescent="0.25">
      <c r="A484" s="4">
        <v>34</v>
      </c>
      <c r="B484" t="s">
        <v>333</v>
      </c>
      <c r="C484" t="s">
        <v>49</v>
      </c>
      <c r="D484" s="5" t="s">
        <v>334</v>
      </c>
      <c r="E484" t="s">
        <v>335</v>
      </c>
      <c r="F484" s="6">
        <v>45161</v>
      </c>
      <c r="G484" s="7">
        <v>0.79166666666666696</v>
      </c>
      <c r="H484" t="s">
        <v>138</v>
      </c>
      <c r="I484" s="5">
        <v>38</v>
      </c>
      <c r="J484" t="s">
        <v>582</v>
      </c>
      <c r="K484" s="6">
        <v>45166</v>
      </c>
      <c r="L484" s="23">
        <v>0.29166666666666702</v>
      </c>
      <c r="M484" s="5">
        <v>1002928108</v>
      </c>
      <c r="N484" s="5" t="s">
        <v>337</v>
      </c>
      <c r="O484" s="8" t="s">
        <v>338</v>
      </c>
      <c r="P484" t="s">
        <v>339</v>
      </c>
      <c r="Q484" t="s">
        <v>1101</v>
      </c>
      <c r="R484" s="5" t="s">
        <v>738</v>
      </c>
      <c r="S484" s="9">
        <v>10</v>
      </c>
      <c r="T484" s="9">
        <v>5</v>
      </c>
      <c r="U484" s="9">
        <v>5</v>
      </c>
      <c r="V484" s="10">
        <f>Table1[[#This Row],[MARGIN '[€']]]/Table1[[#This Row],[SALES '[€']]]</f>
        <v>0.5</v>
      </c>
      <c r="W484" s="5">
        <v>9215166629</v>
      </c>
      <c r="X484" s="5" t="s">
        <v>1102</v>
      </c>
      <c r="Y484" s="4">
        <v>1642</v>
      </c>
      <c r="Z484" t="s">
        <v>339</v>
      </c>
      <c r="AA484" t="s">
        <v>342</v>
      </c>
      <c r="AL484" t="s">
        <v>61</v>
      </c>
    </row>
    <row r="485" spans="1:40" x14ac:dyDescent="0.25">
      <c r="A485" s="4">
        <v>34</v>
      </c>
      <c r="B485" t="s">
        <v>333</v>
      </c>
      <c r="C485" t="s">
        <v>49</v>
      </c>
      <c r="D485" s="5" t="s">
        <v>334</v>
      </c>
      <c r="E485" t="s">
        <v>335</v>
      </c>
      <c r="F485" s="6">
        <v>45161</v>
      </c>
      <c r="G485" s="7">
        <v>0.70833333333333304</v>
      </c>
      <c r="H485" t="s">
        <v>138</v>
      </c>
      <c r="I485" s="5">
        <v>38</v>
      </c>
      <c r="J485" t="s">
        <v>665</v>
      </c>
      <c r="K485" s="6">
        <v>45166</v>
      </c>
      <c r="L485" s="23">
        <v>0.375</v>
      </c>
      <c r="M485" s="5">
        <v>1002928118</v>
      </c>
      <c r="N485" s="5" t="s">
        <v>337</v>
      </c>
      <c r="O485" s="8" t="s">
        <v>338</v>
      </c>
      <c r="P485" t="s">
        <v>393</v>
      </c>
      <c r="Q485" t="s">
        <v>1103</v>
      </c>
      <c r="R485" s="5" t="s">
        <v>145</v>
      </c>
      <c r="S485" s="9">
        <v>10</v>
      </c>
      <c r="T485" s="9">
        <v>5</v>
      </c>
      <c r="U485" s="9">
        <v>5</v>
      </c>
      <c r="V485" s="10">
        <f>Table1[[#This Row],[MARGIN '[€']]]/Table1[[#This Row],[SALES '[€']]]</f>
        <v>0.5</v>
      </c>
      <c r="W485" s="5">
        <v>9215166695</v>
      </c>
      <c r="X485" s="5" t="s">
        <v>1104</v>
      </c>
      <c r="Y485" s="4">
        <v>1629</v>
      </c>
      <c r="Z485" t="s">
        <v>339</v>
      </c>
      <c r="AA485" t="s">
        <v>342</v>
      </c>
      <c r="AL485" t="s">
        <v>61</v>
      </c>
    </row>
    <row r="486" spans="1:40" x14ac:dyDescent="0.25">
      <c r="A486" s="4">
        <v>34</v>
      </c>
      <c r="B486" t="s">
        <v>333</v>
      </c>
      <c r="C486" t="s">
        <v>49</v>
      </c>
      <c r="D486" s="5" t="s">
        <v>334</v>
      </c>
      <c r="E486" t="s">
        <v>335</v>
      </c>
      <c r="F486" s="6">
        <v>45161</v>
      </c>
      <c r="G486" s="7">
        <v>0.64583333333333304</v>
      </c>
      <c r="H486" t="s">
        <v>138</v>
      </c>
      <c r="I486" s="5">
        <v>38</v>
      </c>
      <c r="J486" t="s">
        <v>665</v>
      </c>
      <c r="K486" s="6">
        <v>45167</v>
      </c>
      <c r="L486" s="23">
        <v>0.33333333333333298</v>
      </c>
      <c r="M486" s="5">
        <v>1002929140</v>
      </c>
      <c r="N486" s="5" t="s">
        <v>337</v>
      </c>
      <c r="O486" s="8" t="s">
        <v>338</v>
      </c>
      <c r="P486" t="s">
        <v>393</v>
      </c>
      <c r="Q486" t="s">
        <v>1105</v>
      </c>
      <c r="R486" s="5" t="s">
        <v>513</v>
      </c>
      <c r="S486" s="9">
        <v>10</v>
      </c>
      <c r="T486" s="9">
        <v>5</v>
      </c>
      <c r="U486" s="9">
        <v>5</v>
      </c>
      <c r="V486" s="10">
        <f>Table1[[#This Row],[MARGIN '[€']]]/Table1[[#This Row],[SALES '[€']]]</f>
        <v>0.5</v>
      </c>
      <c r="W486" s="5">
        <v>9215166696</v>
      </c>
      <c r="X486" s="5" t="s">
        <v>1106</v>
      </c>
      <c r="Y486" s="4">
        <v>1629</v>
      </c>
      <c r="Z486" t="s">
        <v>339</v>
      </c>
      <c r="AA486" t="s">
        <v>342</v>
      </c>
      <c r="AL486" t="s">
        <v>61</v>
      </c>
    </row>
    <row r="487" spans="1:40" x14ac:dyDescent="0.25">
      <c r="A487" s="4">
        <v>34</v>
      </c>
      <c r="B487" t="s">
        <v>333</v>
      </c>
      <c r="C487" t="s">
        <v>49</v>
      </c>
      <c r="D487" s="5" t="s">
        <v>334</v>
      </c>
      <c r="E487" t="s">
        <v>335</v>
      </c>
      <c r="F487" s="6">
        <v>45161</v>
      </c>
      <c r="G487" s="7">
        <v>0.64583333333333304</v>
      </c>
      <c r="H487" t="s">
        <v>1107</v>
      </c>
      <c r="I487" s="5">
        <v>47</v>
      </c>
      <c r="J487" t="s">
        <v>1108</v>
      </c>
      <c r="K487" s="6">
        <v>45163</v>
      </c>
      <c r="L487" s="23">
        <v>0.33333333333333298</v>
      </c>
      <c r="M487" s="5">
        <v>1002947869</v>
      </c>
      <c r="N487" s="5" t="s">
        <v>337</v>
      </c>
      <c r="O487" s="8" t="s">
        <v>387</v>
      </c>
      <c r="Q487" t="s">
        <v>1109</v>
      </c>
      <c r="R487" s="5" t="s">
        <v>1110</v>
      </c>
      <c r="S487" s="9">
        <v>10</v>
      </c>
      <c r="T487" s="9">
        <v>5</v>
      </c>
      <c r="U487" s="9">
        <v>5</v>
      </c>
      <c r="V487" s="10">
        <f>Table1[[#This Row],[MARGIN '[€']]]/Table1[[#This Row],[SALES '[€']]]</f>
        <v>0.5</v>
      </c>
      <c r="W487" s="5">
        <v>9215166841</v>
      </c>
      <c r="X487" s="5" t="s">
        <v>1111</v>
      </c>
      <c r="Y487" s="4">
        <v>788</v>
      </c>
      <c r="AA487" t="s">
        <v>342</v>
      </c>
      <c r="AL487" t="s">
        <v>61</v>
      </c>
    </row>
    <row r="488" spans="1:40" x14ac:dyDescent="0.25">
      <c r="A488" s="4">
        <v>34</v>
      </c>
      <c r="B488" t="s">
        <v>333</v>
      </c>
      <c r="C488" t="s">
        <v>49</v>
      </c>
      <c r="D488" s="5" t="s">
        <v>334</v>
      </c>
      <c r="E488" t="s">
        <v>335</v>
      </c>
      <c r="F488" s="6">
        <v>45161</v>
      </c>
      <c r="G488" s="7">
        <v>0.375</v>
      </c>
      <c r="H488" t="s">
        <v>384</v>
      </c>
      <c r="I488" s="5">
        <v>29</v>
      </c>
      <c r="J488" t="s">
        <v>386</v>
      </c>
      <c r="K488" s="6">
        <v>45163</v>
      </c>
      <c r="L488" s="23">
        <v>0.375</v>
      </c>
      <c r="M488" s="5">
        <v>1002950422</v>
      </c>
      <c r="N488" s="5" t="s">
        <v>337</v>
      </c>
      <c r="O488" s="8" t="s">
        <v>387</v>
      </c>
      <c r="Q488" t="s">
        <v>1112</v>
      </c>
      <c r="R488" s="5" t="s">
        <v>964</v>
      </c>
      <c r="S488" s="9">
        <v>10</v>
      </c>
      <c r="T488" s="9">
        <v>5</v>
      </c>
      <c r="U488" s="9">
        <v>5</v>
      </c>
      <c r="V488" s="10">
        <f>Table1[[#This Row],[MARGIN '[€']]]/Table1[[#This Row],[SALES '[€']]]</f>
        <v>0.5</v>
      </c>
      <c r="W488" s="5">
        <v>9215166845</v>
      </c>
      <c r="X488" s="5" t="s">
        <v>1113</v>
      </c>
      <c r="Y488" s="4">
        <v>1233</v>
      </c>
      <c r="AA488" t="s">
        <v>342</v>
      </c>
      <c r="AL488" t="s">
        <v>61</v>
      </c>
    </row>
    <row r="489" spans="1:40" x14ac:dyDescent="0.25">
      <c r="A489" s="4">
        <v>34</v>
      </c>
      <c r="B489" t="s">
        <v>234</v>
      </c>
      <c r="C489" t="s">
        <v>49</v>
      </c>
      <c r="D489" s="5" t="s">
        <v>50</v>
      </c>
      <c r="E489" t="s">
        <v>235</v>
      </c>
      <c r="F489" s="6">
        <v>45161</v>
      </c>
      <c r="G489" s="7">
        <v>0.625</v>
      </c>
      <c r="H489" t="s">
        <v>600</v>
      </c>
      <c r="I489" s="5" t="s">
        <v>601</v>
      </c>
      <c r="J489" t="s">
        <v>602</v>
      </c>
      <c r="K489" s="6">
        <v>45162</v>
      </c>
      <c r="L489" s="23">
        <v>0.70833333333333304</v>
      </c>
      <c r="N489" s="5" t="s">
        <v>142</v>
      </c>
      <c r="O489" s="8" t="s">
        <v>450</v>
      </c>
      <c r="P489" t="s">
        <v>1114</v>
      </c>
      <c r="Q489" t="s">
        <v>603</v>
      </c>
      <c r="R489" s="5" t="s">
        <v>604</v>
      </c>
      <c r="S489" s="9">
        <v>10</v>
      </c>
      <c r="T489" s="9">
        <v>5</v>
      </c>
      <c r="U489" s="9">
        <v>5</v>
      </c>
      <c r="V489" s="10">
        <f>Table1[[#This Row],[MARGIN '[€']]]/Table1[[#This Row],[SALES '[€']]]</f>
        <v>0.5</v>
      </c>
      <c r="W489" s="5" t="s">
        <v>1115</v>
      </c>
      <c r="X489" s="5" t="s">
        <v>1116</v>
      </c>
      <c r="Y489" s="4">
        <v>733</v>
      </c>
      <c r="AA489" t="s">
        <v>163</v>
      </c>
      <c r="AL489" t="s">
        <v>61</v>
      </c>
    </row>
    <row r="490" spans="1:40" x14ac:dyDescent="0.25">
      <c r="A490" s="4">
        <v>34</v>
      </c>
      <c r="B490" t="s">
        <v>234</v>
      </c>
      <c r="C490" t="s">
        <v>216</v>
      </c>
      <c r="D490" s="5" t="s">
        <v>236</v>
      </c>
      <c r="E490" t="s">
        <v>237</v>
      </c>
      <c r="F490" s="6">
        <v>45161</v>
      </c>
      <c r="G490" s="7">
        <v>0.75</v>
      </c>
      <c r="H490" t="s">
        <v>49</v>
      </c>
      <c r="I490" s="5" t="s">
        <v>50</v>
      </c>
      <c r="J490" t="s">
        <v>235</v>
      </c>
      <c r="K490" s="6">
        <v>45162</v>
      </c>
      <c r="L490" s="23">
        <v>0.75</v>
      </c>
      <c r="N490" s="5" t="s">
        <v>55</v>
      </c>
      <c r="O490" s="8" t="s">
        <v>450</v>
      </c>
      <c r="Q490" t="s">
        <v>1117</v>
      </c>
      <c r="R490" s="5" t="s">
        <v>452</v>
      </c>
      <c r="S490" s="9">
        <v>10</v>
      </c>
      <c r="T490" s="9">
        <v>5</v>
      </c>
      <c r="U490" s="9">
        <v>5</v>
      </c>
      <c r="V490" s="10">
        <f>Table1[[#This Row],[MARGIN '[€']]]/Table1[[#This Row],[SALES '[€']]]</f>
        <v>0.5</v>
      </c>
      <c r="W490" s="5" t="s">
        <v>1118</v>
      </c>
      <c r="X490" s="5" t="s">
        <v>1119</v>
      </c>
      <c r="Y490" s="4">
        <v>656</v>
      </c>
      <c r="AA490" t="s">
        <v>163</v>
      </c>
      <c r="AL490" t="s">
        <v>61</v>
      </c>
    </row>
    <row r="491" spans="1:40" x14ac:dyDescent="0.25">
      <c r="A491" s="4">
        <v>34</v>
      </c>
      <c r="B491" t="s">
        <v>234</v>
      </c>
      <c r="C491" t="s">
        <v>216</v>
      </c>
      <c r="D491" s="5" t="s">
        <v>236</v>
      </c>
      <c r="E491" t="s">
        <v>237</v>
      </c>
      <c r="F491" s="6">
        <v>45161</v>
      </c>
      <c r="G491" s="7">
        <v>0.999305555555556</v>
      </c>
      <c r="H491" t="s">
        <v>49</v>
      </c>
      <c r="I491" s="5" t="s">
        <v>50</v>
      </c>
      <c r="J491" t="s">
        <v>235</v>
      </c>
      <c r="K491" s="6">
        <v>45162</v>
      </c>
      <c r="L491" s="23">
        <v>0.75</v>
      </c>
      <c r="N491" s="5" t="s">
        <v>55</v>
      </c>
      <c r="O491" s="8" t="s">
        <v>450</v>
      </c>
      <c r="Q491" t="s">
        <v>451</v>
      </c>
      <c r="R491" s="5" t="s">
        <v>452</v>
      </c>
      <c r="S491" s="9">
        <v>10</v>
      </c>
      <c r="T491" s="9">
        <v>5</v>
      </c>
      <c r="U491" s="9">
        <v>5</v>
      </c>
      <c r="V491" s="10">
        <f>Table1[[#This Row],[MARGIN '[€']]]/Table1[[#This Row],[SALES '[€']]]</f>
        <v>0.5</v>
      </c>
      <c r="W491" s="5" t="s">
        <v>1120</v>
      </c>
      <c r="X491" s="5" t="s">
        <v>1121</v>
      </c>
      <c r="Y491" s="4">
        <v>656</v>
      </c>
      <c r="AA491" t="s">
        <v>163</v>
      </c>
      <c r="AL491" t="s">
        <v>61</v>
      </c>
    </row>
    <row r="492" spans="1:40" x14ac:dyDescent="0.25">
      <c r="A492" s="4">
        <v>34</v>
      </c>
      <c r="B492" t="s">
        <v>607</v>
      </c>
      <c r="C492" t="s">
        <v>49</v>
      </c>
      <c r="D492" s="5" t="s">
        <v>156</v>
      </c>
      <c r="E492" t="s">
        <v>608</v>
      </c>
      <c r="F492" s="6">
        <v>45161</v>
      </c>
      <c r="G492" s="7">
        <v>0.375</v>
      </c>
      <c r="H492" t="s">
        <v>49</v>
      </c>
      <c r="I492" s="5" t="s">
        <v>50</v>
      </c>
      <c r="J492" t="s">
        <v>51</v>
      </c>
      <c r="K492" s="6">
        <v>45161</v>
      </c>
      <c r="L492" s="23">
        <v>0.5</v>
      </c>
      <c r="M492" s="5" t="s">
        <v>1122</v>
      </c>
      <c r="N492" s="5" t="s">
        <v>55</v>
      </c>
      <c r="O492" s="8" t="s">
        <v>56</v>
      </c>
      <c r="P492" t="s">
        <v>609</v>
      </c>
      <c r="Q492" t="s">
        <v>885</v>
      </c>
      <c r="R492" s="5" t="s">
        <v>611</v>
      </c>
      <c r="S492" s="9">
        <v>10</v>
      </c>
      <c r="T492" s="9">
        <v>5</v>
      </c>
      <c r="U492" s="9">
        <v>5</v>
      </c>
      <c r="V492" s="10">
        <f>Table1[[#This Row],[MARGIN '[€']]]/Table1[[#This Row],[SALES '[€']]]</f>
        <v>0.5</v>
      </c>
      <c r="W492" s="5">
        <v>4353062679</v>
      </c>
      <c r="X492" s="5" t="s">
        <v>1123</v>
      </c>
      <c r="Y492" s="4">
        <v>374</v>
      </c>
      <c r="Z492">
        <v>0</v>
      </c>
      <c r="AA492" t="s">
        <v>163</v>
      </c>
      <c r="AL492" t="s">
        <v>61</v>
      </c>
      <c r="AN492" t="s">
        <v>613</v>
      </c>
    </row>
    <row r="493" spans="1:40" x14ac:dyDescent="0.25">
      <c r="A493" s="4">
        <v>34</v>
      </c>
      <c r="B493" t="s">
        <v>48</v>
      </c>
      <c r="C493" t="s">
        <v>49</v>
      </c>
      <c r="D493" s="5" t="s">
        <v>50</v>
      </c>
      <c r="E493" t="s">
        <v>51</v>
      </c>
      <c r="F493" s="6">
        <v>45161</v>
      </c>
      <c r="G493" s="7">
        <v>0.375</v>
      </c>
      <c r="H493" t="s">
        <v>66</v>
      </c>
      <c r="I493" s="5">
        <v>32</v>
      </c>
      <c r="J493" t="s">
        <v>68</v>
      </c>
      <c r="K493" s="6">
        <v>45161</v>
      </c>
      <c r="L493" s="23">
        <v>0.58333333333333304</v>
      </c>
      <c r="M493" s="5">
        <v>119907</v>
      </c>
      <c r="N493" s="5" t="s">
        <v>69</v>
      </c>
      <c r="O493" s="8" t="s">
        <v>56</v>
      </c>
      <c r="Q493" t="s">
        <v>1061</v>
      </c>
      <c r="R493" s="5" t="s">
        <v>71</v>
      </c>
      <c r="S493" s="9">
        <v>10</v>
      </c>
      <c r="T493" s="9">
        <v>5</v>
      </c>
      <c r="U493" s="9">
        <v>5</v>
      </c>
      <c r="V493" s="10">
        <f>Table1[[#This Row],[MARGIN '[€']]]/Table1[[#This Row],[SALES '[€']]]</f>
        <v>0.5</v>
      </c>
      <c r="W493" s="5">
        <v>9215166926</v>
      </c>
      <c r="X493" s="5" t="s">
        <v>1124</v>
      </c>
      <c r="Y493" s="4">
        <v>316</v>
      </c>
      <c r="AA493" t="s">
        <v>73</v>
      </c>
      <c r="AL493" t="s">
        <v>61</v>
      </c>
    </row>
    <row r="494" spans="1:40" x14ac:dyDescent="0.25">
      <c r="A494" s="4">
        <v>34</v>
      </c>
      <c r="B494" t="s">
        <v>48</v>
      </c>
      <c r="C494" t="s">
        <v>49</v>
      </c>
      <c r="D494" s="5" t="s">
        <v>50</v>
      </c>
      <c r="E494" t="s">
        <v>51</v>
      </c>
      <c r="F494" s="6">
        <v>45161</v>
      </c>
      <c r="G494" s="7">
        <v>0.65277777777777801</v>
      </c>
      <c r="H494" t="s">
        <v>66</v>
      </c>
      <c r="I494" s="5">
        <v>32</v>
      </c>
      <c r="J494" t="s">
        <v>68</v>
      </c>
      <c r="K494" s="6">
        <v>45161</v>
      </c>
      <c r="L494" s="23">
        <v>0.999305555555556</v>
      </c>
      <c r="M494" s="5">
        <v>119911</v>
      </c>
      <c r="N494" s="5" t="s">
        <v>69</v>
      </c>
      <c r="O494" s="8" t="s">
        <v>56</v>
      </c>
      <c r="Q494" t="s">
        <v>1125</v>
      </c>
      <c r="R494" s="5" t="s">
        <v>177</v>
      </c>
      <c r="S494" s="9">
        <v>10</v>
      </c>
      <c r="T494" s="9">
        <v>5</v>
      </c>
      <c r="U494" s="9">
        <v>5</v>
      </c>
      <c r="V494" s="10">
        <f>Table1[[#This Row],[MARGIN '[€']]]/Table1[[#This Row],[SALES '[€']]]</f>
        <v>0.5</v>
      </c>
      <c r="W494" s="5">
        <v>9215166922</v>
      </c>
      <c r="X494" s="5" t="s">
        <v>1126</v>
      </c>
      <c r="Y494" s="4">
        <v>316</v>
      </c>
      <c r="AA494" t="s">
        <v>73</v>
      </c>
      <c r="AL494" t="s">
        <v>61</v>
      </c>
    </row>
    <row r="495" spans="1:40" x14ac:dyDescent="0.25">
      <c r="A495" s="4">
        <v>34</v>
      </c>
      <c r="B495" t="s">
        <v>48</v>
      </c>
      <c r="C495" t="s">
        <v>49</v>
      </c>
      <c r="D495" s="5" t="s">
        <v>50</v>
      </c>
      <c r="E495" t="s">
        <v>51</v>
      </c>
      <c r="F495" s="6">
        <v>45161</v>
      </c>
      <c r="G495" s="7">
        <v>0.47222222222222199</v>
      </c>
      <c r="H495" t="s">
        <v>66</v>
      </c>
      <c r="I495" s="5">
        <v>32</v>
      </c>
      <c r="J495" t="s">
        <v>68</v>
      </c>
      <c r="K495" s="6">
        <v>45162</v>
      </c>
      <c r="L495" s="23">
        <v>8.3333333333333301E-2</v>
      </c>
      <c r="M495" s="5">
        <v>119912</v>
      </c>
      <c r="N495" s="5" t="s">
        <v>69</v>
      </c>
      <c r="O495" s="8" t="s">
        <v>56</v>
      </c>
      <c r="Q495" t="s">
        <v>1127</v>
      </c>
      <c r="R495" s="5" t="s">
        <v>177</v>
      </c>
      <c r="S495" s="9">
        <v>10</v>
      </c>
      <c r="T495" s="9">
        <v>5</v>
      </c>
      <c r="U495" s="9">
        <v>5</v>
      </c>
      <c r="V495" s="10">
        <f>Table1[[#This Row],[MARGIN '[€']]]/Table1[[#This Row],[SALES '[€']]]</f>
        <v>0.5</v>
      </c>
      <c r="W495" s="5">
        <v>9215166923</v>
      </c>
      <c r="X495" s="5" t="s">
        <v>1128</v>
      </c>
      <c r="Y495" s="4">
        <v>316</v>
      </c>
      <c r="AA495" t="s">
        <v>73</v>
      </c>
      <c r="AL495" t="s">
        <v>61</v>
      </c>
    </row>
    <row r="496" spans="1:40" x14ac:dyDescent="0.25">
      <c r="A496" s="4">
        <v>34</v>
      </c>
      <c r="B496" t="s">
        <v>48</v>
      </c>
      <c r="C496" t="s">
        <v>49</v>
      </c>
      <c r="D496" s="5" t="s">
        <v>50</v>
      </c>
      <c r="E496" t="s">
        <v>51</v>
      </c>
      <c r="F496" s="6">
        <v>45161</v>
      </c>
      <c r="G496" s="7">
        <v>0.55555555555555602</v>
      </c>
      <c r="H496" t="s">
        <v>66</v>
      </c>
      <c r="I496" s="5">
        <v>32</v>
      </c>
      <c r="J496" t="s">
        <v>68</v>
      </c>
      <c r="K496" s="6">
        <v>45162</v>
      </c>
      <c r="L496" s="23">
        <v>0.16666666666666699</v>
      </c>
      <c r="M496" s="5">
        <v>119913</v>
      </c>
      <c r="N496" s="5" t="s">
        <v>69</v>
      </c>
      <c r="O496" s="8" t="s">
        <v>56</v>
      </c>
      <c r="Q496" t="s">
        <v>979</v>
      </c>
      <c r="R496" s="5" t="s">
        <v>71</v>
      </c>
      <c r="S496" s="9">
        <v>10</v>
      </c>
      <c r="T496" s="9">
        <v>5</v>
      </c>
      <c r="U496" s="9">
        <v>5</v>
      </c>
      <c r="V496" s="10">
        <f>Table1[[#This Row],[MARGIN '[€']]]/Table1[[#This Row],[SALES '[€']]]</f>
        <v>0.5</v>
      </c>
      <c r="W496" s="5">
        <v>9215166927</v>
      </c>
      <c r="X496" s="5" t="s">
        <v>1129</v>
      </c>
      <c r="Y496" s="4">
        <v>316</v>
      </c>
      <c r="AA496" t="s">
        <v>73</v>
      </c>
      <c r="AL496" t="s">
        <v>61</v>
      </c>
    </row>
    <row r="497" spans="1:38" x14ac:dyDescent="0.25">
      <c r="A497" s="4">
        <v>34</v>
      </c>
      <c r="B497" t="s">
        <v>48</v>
      </c>
      <c r="C497" t="s">
        <v>49</v>
      </c>
      <c r="D497" s="5" t="s">
        <v>50</v>
      </c>
      <c r="E497" t="s">
        <v>51</v>
      </c>
      <c r="F497" s="6">
        <v>45161</v>
      </c>
      <c r="G497" s="7">
        <v>0.5</v>
      </c>
      <c r="H497" t="s">
        <v>66</v>
      </c>
      <c r="I497" s="5">
        <v>32</v>
      </c>
      <c r="J497" t="s">
        <v>68</v>
      </c>
      <c r="K497" s="6">
        <v>45162</v>
      </c>
      <c r="L497" s="23">
        <v>0.25</v>
      </c>
      <c r="M497" s="5">
        <v>119914</v>
      </c>
      <c r="N497" s="5" t="s">
        <v>69</v>
      </c>
      <c r="O497" s="8" t="s">
        <v>56</v>
      </c>
      <c r="Q497" t="s">
        <v>971</v>
      </c>
      <c r="R497" s="5" t="s">
        <v>71</v>
      </c>
      <c r="S497" s="9">
        <v>10</v>
      </c>
      <c r="T497" s="9">
        <v>5</v>
      </c>
      <c r="U497" s="9">
        <v>5</v>
      </c>
      <c r="V497" s="10">
        <f>Table1[[#This Row],[MARGIN '[€']]]/Table1[[#This Row],[SALES '[€']]]</f>
        <v>0.5</v>
      </c>
      <c r="W497" s="5">
        <v>9215166928</v>
      </c>
      <c r="X497" s="5" t="s">
        <v>1130</v>
      </c>
      <c r="Y497" s="4">
        <v>316</v>
      </c>
      <c r="AA497" t="s">
        <v>73</v>
      </c>
      <c r="AL497" t="s">
        <v>61</v>
      </c>
    </row>
    <row r="498" spans="1:38" x14ac:dyDescent="0.25">
      <c r="A498" s="4">
        <v>34</v>
      </c>
      <c r="B498" t="s">
        <v>48</v>
      </c>
      <c r="C498" t="s">
        <v>49</v>
      </c>
      <c r="D498" s="5" t="s">
        <v>50</v>
      </c>
      <c r="E498" t="s">
        <v>51</v>
      </c>
      <c r="F498" s="6">
        <v>45161</v>
      </c>
      <c r="G498" s="7">
        <v>0.66666666666666696</v>
      </c>
      <c r="H498" t="s">
        <v>66</v>
      </c>
      <c r="I498" s="5">
        <v>32</v>
      </c>
      <c r="J498" t="s">
        <v>68</v>
      </c>
      <c r="K498" s="6">
        <v>45162</v>
      </c>
      <c r="L498" s="23">
        <v>0.33333333333333298</v>
      </c>
      <c r="M498" s="5">
        <v>119915</v>
      </c>
      <c r="N498" s="5" t="s">
        <v>69</v>
      </c>
      <c r="O498" s="8" t="s">
        <v>56</v>
      </c>
      <c r="Q498" t="s">
        <v>975</v>
      </c>
      <c r="R498" s="5" t="s">
        <v>71</v>
      </c>
      <c r="S498" s="9">
        <v>10</v>
      </c>
      <c r="T498" s="9">
        <v>5</v>
      </c>
      <c r="U498" s="9">
        <v>5</v>
      </c>
      <c r="V498" s="10">
        <f>Table1[[#This Row],[MARGIN '[€']]]/Table1[[#This Row],[SALES '[€']]]</f>
        <v>0.5</v>
      </c>
      <c r="W498" s="5">
        <v>9215166995</v>
      </c>
      <c r="X498" s="5" t="s">
        <v>1131</v>
      </c>
      <c r="Y498" s="4">
        <v>316</v>
      </c>
      <c r="AA498" t="s">
        <v>73</v>
      </c>
      <c r="AL498" t="s">
        <v>61</v>
      </c>
    </row>
    <row r="499" spans="1:38" x14ac:dyDescent="0.25">
      <c r="A499" s="4">
        <v>34</v>
      </c>
      <c r="B499" t="s">
        <v>48</v>
      </c>
      <c r="C499" t="s">
        <v>49</v>
      </c>
      <c r="D499" s="5" t="s">
        <v>50</v>
      </c>
      <c r="E499" t="s">
        <v>51</v>
      </c>
      <c r="F499" s="6">
        <v>45161</v>
      </c>
      <c r="G499" s="7">
        <v>0.75</v>
      </c>
      <c r="H499" t="s">
        <v>66</v>
      </c>
      <c r="I499" s="5">
        <v>32</v>
      </c>
      <c r="J499" t="s">
        <v>68</v>
      </c>
      <c r="K499" s="6">
        <v>45162</v>
      </c>
      <c r="L499" s="23">
        <v>0.41666666666666702</v>
      </c>
      <c r="M499" s="5">
        <v>119916</v>
      </c>
      <c r="N499" s="5" t="s">
        <v>69</v>
      </c>
      <c r="O499" s="8" t="s">
        <v>56</v>
      </c>
      <c r="Q499" t="s">
        <v>981</v>
      </c>
      <c r="R499" s="5" t="s">
        <v>71</v>
      </c>
      <c r="S499" s="9">
        <v>10</v>
      </c>
      <c r="T499" s="9">
        <v>5</v>
      </c>
      <c r="U499" s="9">
        <v>5</v>
      </c>
      <c r="V499" s="10">
        <f>Table1[[#This Row],[MARGIN '[€']]]/Table1[[#This Row],[SALES '[€']]]</f>
        <v>0.5</v>
      </c>
      <c r="W499" s="5">
        <v>9215166998</v>
      </c>
      <c r="X499" s="5" t="s">
        <v>1132</v>
      </c>
      <c r="Y499" s="4">
        <v>316</v>
      </c>
      <c r="AA499" t="s">
        <v>73</v>
      </c>
      <c r="AL499" t="s">
        <v>61</v>
      </c>
    </row>
    <row r="500" spans="1:38" x14ac:dyDescent="0.25">
      <c r="A500" s="4">
        <v>34</v>
      </c>
      <c r="B500" t="s">
        <v>48</v>
      </c>
      <c r="C500" t="s">
        <v>49</v>
      </c>
      <c r="D500" s="5" t="s">
        <v>50</v>
      </c>
      <c r="E500" t="s">
        <v>51</v>
      </c>
      <c r="F500" s="6">
        <v>45161</v>
      </c>
      <c r="G500" s="7">
        <v>0.48611111111111099</v>
      </c>
      <c r="H500" t="s">
        <v>66</v>
      </c>
      <c r="I500" s="5">
        <v>32</v>
      </c>
      <c r="J500" t="s">
        <v>68</v>
      </c>
      <c r="K500" s="6">
        <v>45162</v>
      </c>
      <c r="L500" s="23">
        <v>0.58333333333333304</v>
      </c>
      <c r="M500" s="5">
        <v>119917</v>
      </c>
      <c r="N500" s="5" t="s">
        <v>69</v>
      </c>
      <c r="O500" s="8" t="s">
        <v>56</v>
      </c>
      <c r="Q500" t="s">
        <v>176</v>
      </c>
      <c r="R500" s="5" t="s">
        <v>177</v>
      </c>
      <c r="S500" s="9">
        <v>10</v>
      </c>
      <c r="T500" s="9">
        <v>5</v>
      </c>
      <c r="U500" s="9">
        <v>5</v>
      </c>
      <c r="V500" s="10">
        <f>Table1[[#This Row],[MARGIN '[€']]]/Table1[[#This Row],[SALES '[€']]]</f>
        <v>0.5</v>
      </c>
      <c r="W500" s="5">
        <v>9215166924</v>
      </c>
      <c r="X500" s="5" t="s">
        <v>1133</v>
      </c>
      <c r="Y500" s="4">
        <v>316</v>
      </c>
      <c r="AA500" t="s">
        <v>73</v>
      </c>
      <c r="AL500" t="s">
        <v>61</v>
      </c>
    </row>
    <row r="501" spans="1:38" x14ac:dyDescent="0.25">
      <c r="A501" s="4">
        <v>34</v>
      </c>
      <c r="B501" t="s">
        <v>48</v>
      </c>
      <c r="C501" t="s">
        <v>49</v>
      </c>
      <c r="D501" s="5" t="s">
        <v>50</v>
      </c>
      <c r="E501" t="s">
        <v>51</v>
      </c>
      <c r="F501" s="6">
        <v>45161</v>
      </c>
      <c r="G501" s="7">
        <v>0.79166666666666696</v>
      </c>
      <c r="H501" t="s">
        <v>66</v>
      </c>
      <c r="I501" s="5">
        <v>32</v>
      </c>
      <c r="J501" t="s">
        <v>68</v>
      </c>
      <c r="K501" s="6">
        <v>45162</v>
      </c>
      <c r="L501" s="23">
        <v>0.75</v>
      </c>
      <c r="M501" s="5">
        <v>119918</v>
      </c>
      <c r="N501" s="5" t="s">
        <v>69</v>
      </c>
      <c r="O501" s="8" t="s">
        <v>56</v>
      </c>
      <c r="Q501" t="s">
        <v>1045</v>
      </c>
      <c r="R501" s="5" t="s">
        <v>177</v>
      </c>
      <c r="S501" s="9">
        <v>10</v>
      </c>
      <c r="T501" s="9">
        <v>5</v>
      </c>
      <c r="U501" s="9">
        <v>5</v>
      </c>
      <c r="V501" s="10">
        <f>Table1[[#This Row],[MARGIN '[€']]]/Table1[[#This Row],[SALES '[€']]]</f>
        <v>0.5</v>
      </c>
      <c r="W501" s="5">
        <v>9215166925</v>
      </c>
      <c r="X501" s="5" t="s">
        <v>1134</v>
      </c>
      <c r="Y501" s="4">
        <v>316</v>
      </c>
      <c r="AA501" t="s">
        <v>73</v>
      </c>
      <c r="AL501" t="s">
        <v>61</v>
      </c>
    </row>
    <row r="502" spans="1:38" x14ac:dyDescent="0.25">
      <c r="A502" s="4">
        <v>34</v>
      </c>
      <c r="B502" t="s">
        <v>48</v>
      </c>
      <c r="C502" t="s">
        <v>49</v>
      </c>
      <c r="D502" s="5" t="s">
        <v>50</v>
      </c>
      <c r="E502" t="s">
        <v>51</v>
      </c>
      <c r="F502" s="6">
        <v>45161</v>
      </c>
      <c r="G502" s="7">
        <v>0.76388888888888895</v>
      </c>
      <c r="H502" t="s">
        <v>66</v>
      </c>
      <c r="I502" s="5">
        <v>32</v>
      </c>
      <c r="J502" t="s">
        <v>68</v>
      </c>
      <c r="K502" s="6">
        <v>45162</v>
      </c>
      <c r="L502" s="3">
        <v>0.91666666666666696</v>
      </c>
      <c r="M502" s="5">
        <v>119919</v>
      </c>
      <c r="N502" s="5" t="s">
        <v>69</v>
      </c>
      <c r="O502" s="8" t="s">
        <v>56</v>
      </c>
      <c r="Q502" t="s">
        <v>1135</v>
      </c>
      <c r="R502" s="5" t="s">
        <v>177</v>
      </c>
      <c r="S502" s="9">
        <v>10</v>
      </c>
      <c r="T502" s="9">
        <v>5</v>
      </c>
      <c r="U502" s="9">
        <v>5</v>
      </c>
      <c r="V502" s="10">
        <f>Table1[[#This Row],[MARGIN '[€']]]/Table1[[#This Row],[SALES '[€']]]</f>
        <v>0.5</v>
      </c>
      <c r="W502" s="5">
        <v>9215167013</v>
      </c>
      <c r="X502" s="5" t="s">
        <v>1136</v>
      </c>
      <c r="Y502" s="4">
        <v>316</v>
      </c>
      <c r="AA502" t="s">
        <v>73</v>
      </c>
      <c r="AL502" t="s">
        <v>61</v>
      </c>
    </row>
    <row r="503" spans="1:38" x14ac:dyDescent="0.25">
      <c r="A503" s="4">
        <v>34</v>
      </c>
      <c r="B503" t="s">
        <v>48</v>
      </c>
      <c r="C503" t="s">
        <v>49</v>
      </c>
      <c r="D503" s="5" t="s">
        <v>50</v>
      </c>
      <c r="E503" t="s">
        <v>51</v>
      </c>
      <c r="F503" s="6">
        <v>45161</v>
      </c>
      <c r="G503" s="7">
        <v>0.70833333333333304</v>
      </c>
      <c r="H503" t="s">
        <v>66</v>
      </c>
      <c r="I503" s="5">
        <v>32</v>
      </c>
      <c r="J503" t="s">
        <v>68</v>
      </c>
      <c r="K503" s="6">
        <v>45163</v>
      </c>
      <c r="L503" s="23">
        <v>0.41666666666666702</v>
      </c>
      <c r="M503" s="5">
        <v>119922</v>
      </c>
      <c r="N503" s="5" t="s">
        <v>69</v>
      </c>
      <c r="O503" s="8" t="s">
        <v>56</v>
      </c>
      <c r="Q503" t="s">
        <v>77</v>
      </c>
      <c r="R503" s="5" t="s">
        <v>71</v>
      </c>
      <c r="S503" s="9">
        <v>10</v>
      </c>
      <c r="T503" s="9">
        <v>5</v>
      </c>
      <c r="U503" s="9">
        <v>5</v>
      </c>
      <c r="V503" s="10">
        <f>Table1[[#This Row],[MARGIN '[€']]]/Table1[[#This Row],[SALES '[€']]]</f>
        <v>0.5</v>
      </c>
      <c r="W503" s="5">
        <v>9215166999</v>
      </c>
      <c r="X503" s="5" t="s">
        <v>1137</v>
      </c>
      <c r="Y503" s="4">
        <v>316</v>
      </c>
      <c r="AA503" t="s">
        <v>73</v>
      </c>
      <c r="AL503" t="s">
        <v>61</v>
      </c>
    </row>
    <row r="504" spans="1:38" x14ac:dyDescent="0.25">
      <c r="A504" s="4">
        <v>34</v>
      </c>
      <c r="B504" t="s">
        <v>48</v>
      </c>
      <c r="C504" t="s">
        <v>49</v>
      </c>
      <c r="D504" s="5" t="s">
        <v>50</v>
      </c>
      <c r="E504" t="s">
        <v>51</v>
      </c>
      <c r="F504" s="6">
        <v>45161</v>
      </c>
      <c r="G504" s="7">
        <v>0.27777777777777801</v>
      </c>
      <c r="H504" t="s">
        <v>52</v>
      </c>
      <c r="I504" s="5">
        <v>23</v>
      </c>
      <c r="J504" t="s">
        <v>85</v>
      </c>
      <c r="K504" s="6">
        <v>45161</v>
      </c>
      <c r="L504" s="23">
        <v>0.45833333333333298</v>
      </c>
      <c r="M504" s="5">
        <v>119968</v>
      </c>
      <c r="N504" s="5" t="s">
        <v>69</v>
      </c>
      <c r="O504" s="8" t="s">
        <v>56</v>
      </c>
      <c r="Q504" t="s">
        <v>614</v>
      </c>
      <c r="R504" s="5" t="s">
        <v>615</v>
      </c>
      <c r="S504" s="9">
        <v>10</v>
      </c>
      <c r="T504" s="9">
        <v>5</v>
      </c>
      <c r="U504" s="9">
        <v>5</v>
      </c>
      <c r="V504" s="10">
        <f>Table1[[#This Row],[MARGIN '[€']]]/Table1[[#This Row],[SALES '[€']]]</f>
        <v>0.5</v>
      </c>
      <c r="W504" s="5">
        <v>9215166851</v>
      </c>
      <c r="X504" s="5" t="s">
        <v>1138</v>
      </c>
      <c r="Y504" s="4">
        <v>261</v>
      </c>
      <c r="AA504" t="s">
        <v>89</v>
      </c>
      <c r="AL504" t="s">
        <v>61</v>
      </c>
    </row>
    <row r="505" spans="1:38" x14ac:dyDescent="0.25">
      <c r="A505" s="4">
        <v>34</v>
      </c>
      <c r="B505" t="s">
        <v>48</v>
      </c>
      <c r="C505" t="s">
        <v>49</v>
      </c>
      <c r="D505" s="5" t="s">
        <v>50</v>
      </c>
      <c r="E505" t="s">
        <v>51</v>
      </c>
      <c r="F505" s="6">
        <v>45161</v>
      </c>
      <c r="G505" s="7">
        <v>0.25</v>
      </c>
      <c r="H505" t="s">
        <v>52</v>
      </c>
      <c r="I505" s="5">
        <v>23</v>
      </c>
      <c r="J505" t="s">
        <v>85</v>
      </c>
      <c r="K505" s="6">
        <v>45161</v>
      </c>
      <c r="L505" s="23">
        <v>0.5</v>
      </c>
      <c r="M505" s="5">
        <v>119954</v>
      </c>
      <c r="N505" s="5" t="s">
        <v>69</v>
      </c>
      <c r="O505" s="8" t="s">
        <v>56</v>
      </c>
      <c r="Q505" t="s">
        <v>992</v>
      </c>
      <c r="R505" s="5" t="s">
        <v>58</v>
      </c>
      <c r="S505" s="9">
        <v>10</v>
      </c>
      <c r="T505" s="9">
        <v>5</v>
      </c>
      <c r="U505" s="9">
        <v>5</v>
      </c>
      <c r="V505" s="10">
        <f>Table1[[#This Row],[MARGIN '[€']]]/Table1[[#This Row],[SALES '[€']]]</f>
        <v>0.5</v>
      </c>
      <c r="W505" s="5">
        <v>9215166790</v>
      </c>
      <c r="X505" s="5" t="s">
        <v>1139</v>
      </c>
      <c r="Y505" s="4">
        <v>261</v>
      </c>
      <c r="AA505" t="s">
        <v>89</v>
      </c>
      <c r="AL505" t="s">
        <v>61</v>
      </c>
    </row>
    <row r="506" spans="1:38" x14ac:dyDescent="0.25">
      <c r="A506" s="4">
        <v>34</v>
      </c>
      <c r="B506" t="s">
        <v>48</v>
      </c>
      <c r="C506" t="s">
        <v>49</v>
      </c>
      <c r="D506" s="5" t="s">
        <v>50</v>
      </c>
      <c r="E506" t="s">
        <v>51</v>
      </c>
      <c r="F506" s="6">
        <v>45161</v>
      </c>
      <c r="G506" s="7">
        <v>0.29166666666666702</v>
      </c>
      <c r="H506" t="s">
        <v>52</v>
      </c>
      <c r="I506" s="5">
        <v>23</v>
      </c>
      <c r="J506" t="s">
        <v>85</v>
      </c>
      <c r="K506" s="6">
        <v>45161</v>
      </c>
      <c r="L506" s="23">
        <v>0.58333333333333304</v>
      </c>
      <c r="M506" s="5">
        <v>119955</v>
      </c>
      <c r="N506" s="5" t="s">
        <v>69</v>
      </c>
      <c r="O506" s="8" t="s">
        <v>56</v>
      </c>
      <c r="P506" t="s">
        <v>76</v>
      </c>
      <c r="Q506" t="s">
        <v>86</v>
      </c>
      <c r="R506" s="5" t="s">
        <v>58</v>
      </c>
      <c r="S506" s="9">
        <v>10</v>
      </c>
      <c r="T506" s="9">
        <v>5</v>
      </c>
      <c r="U506" s="9">
        <v>5</v>
      </c>
      <c r="V506" s="10">
        <f>Table1[[#This Row],[MARGIN '[€']]]/Table1[[#This Row],[SALES '[€']]]</f>
        <v>0.5</v>
      </c>
      <c r="W506" s="5" t="s">
        <v>1140</v>
      </c>
      <c r="X506" s="5" t="s">
        <v>1141</v>
      </c>
      <c r="Y506" s="4">
        <v>261</v>
      </c>
      <c r="AA506" t="s">
        <v>89</v>
      </c>
      <c r="AL506" t="s">
        <v>61</v>
      </c>
    </row>
    <row r="507" spans="1:38" x14ac:dyDescent="0.25">
      <c r="A507" s="4">
        <v>34</v>
      </c>
      <c r="B507" t="s">
        <v>48</v>
      </c>
      <c r="C507" t="s">
        <v>49</v>
      </c>
      <c r="D507" s="5" t="s">
        <v>50</v>
      </c>
      <c r="E507" t="s">
        <v>51</v>
      </c>
      <c r="F507" s="6">
        <v>45161</v>
      </c>
      <c r="G507" s="7">
        <v>0.875</v>
      </c>
      <c r="H507" t="s">
        <v>52</v>
      </c>
      <c r="I507" s="5">
        <v>23</v>
      </c>
      <c r="J507" t="s">
        <v>85</v>
      </c>
      <c r="K507" s="6">
        <v>45162</v>
      </c>
      <c r="L507" s="23">
        <v>0.25</v>
      </c>
      <c r="M507" s="5">
        <v>119959</v>
      </c>
      <c r="N507" s="5" t="s">
        <v>69</v>
      </c>
      <c r="O507" s="8" t="s">
        <v>56</v>
      </c>
      <c r="Q507" t="s">
        <v>311</v>
      </c>
      <c r="R507" s="5" t="s">
        <v>312</v>
      </c>
      <c r="S507" s="9">
        <v>10</v>
      </c>
      <c r="T507" s="9">
        <v>5</v>
      </c>
      <c r="U507" s="9">
        <v>5</v>
      </c>
      <c r="V507" s="10">
        <f>Table1[[#This Row],[MARGIN '[€']]]/Table1[[#This Row],[SALES '[€']]]</f>
        <v>0.5</v>
      </c>
      <c r="W507" s="5">
        <v>9215166764</v>
      </c>
      <c r="X507" s="5" t="s">
        <v>1142</v>
      </c>
      <c r="Y507" s="4">
        <v>261</v>
      </c>
      <c r="AA507" t="s">
        <v>89</v>
      </c>
      <c r="AL507" t="s">
        <v>61</v>
      </c>
    </row>
    <row r="508" spans="1:38" x14ac:dyDescent="0.25">
      <c r="A508" s="4">
        <v>34</v>
      </c>
      <c r="B508" t="s">
        <v>48</v>
      </c>
      <c r="C508" t="s">
        <v>49</v>
      </c>
      <c r="D508" s="5" t="s">
        <v>50</v>
      </c>
      <c r="E508" t="s">
        <v>51</v>
      </c>
      <c r="F508" s="6">
        <v>45161</v>
      </c>
      <c r="G508" s="7">
        <v>0.16666666666666699</v>
      </c>
      <c r="H508" t="s">
        <v>52</v>
      </c>
      <c r="I508" s="5">
        <v>35</v>
      </c>
      <c r="J508" t="s">
        <v>54</v>
      </c>
      <c r="K508" s="6">
        <v>45161</v>
      </c>
      <c r="L508" s="23">
        <v>0.75</v>
      </c>
      <c r="M508" s="5">
        <v>120001</v>
      </c>
      <c r="N508" s="5" t="s">
        <v>55</v>
      </c>
      <c r="O508" s="8" t="s">
        <v>56</v>
      </c>
      <c r="Q508" t="s">
        <v>62</v>
      </c>
      <c r="R508" s="5" t="s">
        <v>58</v>
      </c>
      <c r="S508" s="9">
        <v>10</v>
      </c>
      <c r="T508" s="9">
        <v>5</v>
      </c>
      <c r="U508" s="9">
        <v>5</v>
      </c>
      <c r="V508" s="10">
        <f>Table1[[#This Row],[MARGIN '[€']]]/Table1[[#This Row],[SALES '[€']]]</f>
        <v>0.5</v>
      </c>
      <c r="W508" s="5">
        <v>9215166858</v>
      </c>
      <c r="X508" s="5" t="s">
        <v>1143</v>
      </c>
      <c r="Y508" s="4">
        <v>82</v>
      </c>
      <c r="AA508" t="s">
        <v>89</v>
      </c>
      <c r="AL508" t="s">
        <v>61</v>
      </c>
    </row>
    <row r="509" spans="1:38" x14ac:dyDescent="0.25">
      <c r="A509" s="4">
        <v>34</v>
      </c>
      <c r="B509" t="s">
        <v>48</v>
      </c>
      <c r="C509" t="s">
        <v>49</v>
      </c>
      <c r="D509" s="5" t="s">
        <v>50</v>
      </c>
      <c r="E509" t="s">
        <v>51</v>
      </c>
      <c r="F509" s="6">
        <v>45161</v>
      </c>
      <c r="G509" s="7">
        <v>0.1875</v>
      </c>
      <c r="H509" t="s">
        <v>52</v>
      </c>
      <c r="I509" s="5">
        <v>35</v>
      </c>
      <c r="J509" t="s">
        <v>54</v>
      </c>
      <c r="K509" s="6">
        <v>45161</v>
      </c>
      <c r="L509" s="23">
        <v>0.75</v>
      </c>
      <c r="M509" s="5">
        <v>120002</v>
      </c>
      <c r="N509" s="5" t="s">
        <v>55</v>
      </c>
      <c r="O509" s="8" t="s">
        <v>56</v>
      </c>
      <c r="Q509" t="s">
        <v>57</v>
      </c>
      <c r="R509" s="5" t="s">
        <v>58</v>
      </c>
      <c r="S509" s="9">
        <v>10</v>
      </c>
      <c r="T509" s="9">
        <v>5</v>
      </c>
      <c r="U509" s="9">
        <v>5</v>
      </c>
      <c r="V509" s="10">
        <f>Table1[[#This Row],[MARGIN '[€']]]/Table1[[#This Row],[SALES '[€']]]</f>
        <v>0.5</v>
      </c>
      <c r="W509" s="5">
        <v>9215166860</v>
      </c>
      <c r="X509" s="5" t="s">
        <v>1144</v>
      </c>
      <c r="Y509" s="4">
        <v>82</v>
      </c>
      <c r="AA509" t="s">
        <v>89</v>
      </c>
      <c r="AL509" t="s">
        <v>61</v>
      </c>
    </row>
    <row r="510" spans="1:38" x14ac:dyDescent="0.25">
      <c r="A510" s="4">
        <v>34</v>
      </c>
      <c r="B510" t="s">
        <v>48</v>
      </c>
      <c r="C510" t="s">
        <v>49</v>
      </c>
      <c r="D510" s="5" t="s">
        <v>50</v>
      </c>
      <c r="E510" t="s">
        <v>51</v>
      </c>
      <c r="F510" s="6">
        <v>45161</v>
      </c>
      <c r="G510" s="7">
        <v>0.20833333333333301</v>
      </c>
      <c r="H510" t="s">
        <v>52</v>
      </c>
      <c r="I510" s="5">
        <v>35</v>
      </c>
      <c r="J510" t="s">
        <v>54</v>
      </c>
      <c r="K510" s="6">
        <v>45161</v>
      </c>
      <c r="L510" s="23">
        <v>0.75</v>
      </c>
      <c r="M510" s="5">
        <v>120003</v>
      </c>
      <c r="N510" s="5" t="s">
        <v>55</v>
      </c>
      <c r="O510" s="8" t="s">
        <v>56</v>
      </c>
      <c r="Q510" t="s">
        <v>64</v>
      </c>
      <c r="R510" s="5" t="s">
        <v>58</v>
      </c>
      <c r="S510" s="9">
        <v>10</v>
      </c>
      <c r="T510" s="9">
        <v>5</v>
      </c>
      <c r="U510" s="9">
        <v>5</v>
      </c>
      <c r="V510" s="10">
        <f>Table1[[#This Row],[MARGIN '[€']]]/Table1[[#This Row],[SALES '[€']]]</f>
        <v>0.5</v>
      </c>
      <c r="W510" s="5">
        <v>9215166863</v>
      </c>
      <c r="X510" s="5" t="s">
        <v>1145</v>
      </c>
      <c r="Y510" s="4">
        <v>82</v>
      </c>
      <c r="AA510" t="s">
        <v>89</v>
      </c>
      <c r="AL510" t="s">
        <v>61</v>
      </c>
    </row>
    <row r="511" spans="1:38" x14ac:dyDescent="0.25">
      <c r="A511" s="4">
        <v>34</v>
      </c>
      <c r="B511" t="s">
        <v>48</v>
      </c>
      <c r="C511" t="s">
        <v>49</v>
      </c>
      <c r="D511" s="5" t="s">
        <v>50</v>
      </c>
      <c r="E511" t="s">
        <v>51</v>
      </c>
      <c r="F511" s="6">
        <v>45161</v>
      </c>
      <c r="G511" s="7">
        <v>0.33333333333333298</v>
      </c>
      <c r="H511" t="s">
        <v>52</v>
      </c>
      <c r="I511" s="5">
        <v>35</v>
      </c>
      <c r="J511" t="s">
        <v>54</v>
      </c>
      <c r="K511" s="6">
        <v>45161</v>
      </c>
      <c r="L511" s="23">
        <v>0.75</v>
      </c>
      <c r="M511" s="5">
        <v>120004</v>
      </c>
      <c r="N511" s="5" t="s">
        <v>55</v>
      </c>
      <c r="O511" s="8" t="s">
        <v>56</v>
      </c>
      <c r="Q511" t="s">
        <v>62</v>
      </c>
      <c r="R511" s="5" t="s">
        <v>58</v>
      </c>
      <c r="S511" s="9">
        <v>10</v>
      </c>
      <c r="T511" s="9">
        <v>5</v>
      </c>
      <c r="U511" s="9">
        <v>5</v>
      </c>
      <c r="V511" s="10">
        <f>Table1[[#This Row],[MARGIN '[€']]]/Table1[[#This Row],[SALES '[€']]]</f>
        <v>0.5</v>
      </c>
      <c r="W511" s="5">
        <v>9215166859</v>
      </c>
      <c r="X511" s="5" t="s">
        <v>1143</v>
      </c>
      <c r="Y511" s="4">
        <v>82</v>
      </c>
      <c r="AA511" t="s">
        <v>89</v>
      </c>
      <c r="AL511" t="s">
        <v>61</v>
      </c>
    </row>
    <row r="512" spans="1:38" x14ac:dyDescent="0.25">
      <c r="A512" s="4">
        <v>34</v>
      </c>
      <c r="B512" t="s">
        <v>48</v>
      </c>
      <c r="C512" t="s">
        <v>49</v>
      </c>
      <c r="D512" s="5" t="s">
        <v>50</v>
      </c>
      <c r="E512" t="s">
        <v>51</v>
      </c>
      <c r="F512" s="6">
        <v>45161</v>
      </c>
      <c r="G512" s="7">
        <v>0.34722222222222199</v>
      </c>
      <c r="H512" t="s">
        <v>52</v>
      </c>
      <c r="I512" s="5">
        <v>35</v>
      </c>
      <c r="J512" t="s">
        <v>54</v>
      </c>
      <c r="K512" s="6">
        <v>45161</v>
      </c>
      <c r="L512" s="23">
        <v>0.75</v>
      </c>
      <c r="M512" s="5">
        <v>120005</v>
      </c>
      <c r="N512" s="5" t="s">
        <v>55</v>
      </c>
      <c r="O512" s="8" t="s">
        <v>56</v>
      </c>
      <c r="Q512" t="s">
        <v>57</v>
      </c>
      <c r="R512" s="5" t="s">
        <v>58</v>
      </c>
      <c r="S512" s="9">
        <v>10</v>
      </c>
      <c r="T512" s="9">
        <v>5</v>
      </c>
      <c r="U512" s="9">
        <v>5</v>
      </c>
      <c r="V512" s="10">
        <f>Table1[[#This Row],[MARGIN '[€']]]/Table1[[#This Row],[SALES '[€']]]</f>
        <v>0.5</v>
      </c>
      <c r="W512" s="5">
        <v>9215166861</v>
      </c>
      <c r="X512" s="5" t="s">
        <v>1144</v>
      </c>
      <c r="Y512" s="4">
        <v>82</v>
      </c>
      <c r="AA512" t="s">
        <v>89</v>
      </c>
      <c r="AL512" t="s">
        <v>61</v>
      </c>
    </row>
    <row r="513" spans="1:40" x14ac:dyDescent="0.25">
      <c r="A513" s="4">
        <v>34</v>
      </c>
      <c r="B513" t="s">
        <v>48</v>
      </c>
      <c r="C513" t="s">
        <v>49</v>
      </c>
      <c r="D513" s="5" t="s">
        <v>50</v>
      </c>
      <c r="E513" t="s">
        <v>51</v>
      </c>
      <c r="F513" s="6">
        <v>45161</v>
      </c>
      <c r="G513" s="7">
        <v>0.36111111111111099</v>
      </c>
      <c r="H513" t="s">
        <v>52</v>
      </c>
      <c r="I513" s="5">
        <v>35</v>
      </c>
      <c r="J513" t="s">
        <v>54</v>
      </c>
      <c r="K513" s="6">
        <v>45161</v>
      </c>
      <c r="L513" s="23">
        <v>0.75</v>
      </c>
      <c r="M513" s="5">
        <v>120006</v>
      </c>
      <c r="N513" s="5" t="s">
        <v>55</v>
      </c>
      <c r="O513" s="8" t="s">
        <v>56</v>
      </c>
      <c r="Q513" t="s">
        <v>64</v>
      </c>
      <c r="R513" s="5" t="s">
        <v>58</v>
      </c>
      <c r="S513" s="9">
        <v>10</v>
      </c>
      <c r="T513" s="9">
        <v>5</v>
      </c>
      <c r="U513" s="9">
        <v>5</v>
      </c>
      <c r="V513" s="10">
        <f>Table1[[#This Row],[MARGIN '[€']]]/Table1[[#This Row],[SALES '[€']]]</f>
        <v>0.5</v>
      </c>
      <c r="W513" s="5">
        <v>9215166864</v>
      </c>
      <c r="X513" s="5" t="s">
        <v>1145</v>
      </c>
      <c r="Y513" s="4">
        <v>82</v>
      </c>
      <c r="AA513" t="s">
        <v>89</v>
      </c>
      <c r="AL513" t="s">
        <v>61</v>
      </c>
    </row>
    <row r="514" spans="1:40" x14ac:dyDescent="0.25">
      <c r="A514" s="4">
        <v>34</v>
      </c>
      <c r="B514" t="s">
        <v>48</v>
      </c>
      <c r="C514" t="s">
        <v>49</v>
      </c>
      <c r="D514" s="5" t="s">
        <v>102</v>
      </c>
      <c r="E514" t="s">
        <v>103</v>
      </c>
      <c r="F514" s="6">
        <v>45161</v>
      </c>
      <c r="G514" s="7">
        <v>0.5</v>
      </c>
      <c r="H514" t="s">
        <v>49</v>
      </c>
      <c r="I514" s="5">
        <v>94</v>
      </c>
      <c r="J514" t="s">
        <v>110</v>
      </c>
      <c r="K514" s="6">
        <v>45162</v>
      </c>
      <c r="L514" s="23">
        <v>0.29166666666666702</v>
      </c>
      <c r="M514" s="5">
        <v>120033</v>
      </c>
      <c r="N514" s="5" t="s">
        <v>69</v>
      </c>
      <c r="O514" s="8" t="s">
        <v>56</v>
      </c>
      <c r="Q514" t="s">
        <v>265</v>
      </c>
      <c r="R514" s="5" t="s">
        <v>266</v>
      </c>
      <c r="S514" s="9">
        <v>10</v>
      </c>
      <c r="T514" s="9">
        <v>5</v>
      </c>
      <c r="U514" s="9">
        <v>5</v>
      </c>
      <c r="V514" s="10">
        <f>Table1[[#This Row],[MARGIN '[€']]]/Table1[[#This Row],[SALES '[€']]]</f>
        <v>0.5</v>
      </c>
      <c r="W514" s="5">
        <v>9215166784</v>
      </c>
      <c r="X514" s="5" t="s">
        <v>1146</v>
      </c>
      <c r="Y514" s="4">
        <v>345</v>
      </c>
      <c r="AA514" t="s">
        <v>89</v>
      </c>
      <c r="AL514" t="s">
        <v>61</v>
      </c>
    </row>
    <row r="515" spans="1:40" x14ac:dyDescent="0.25">
      <c r="A515" s="4">
        <v>34</v>
      </c>
      <c r="B515" t="s">
        <v>48</v>
      </c>
      <c r="C515" t="s">
        <v>49</v>
      </c>
      <c r="D515" s="5" t="s">
        <v>50</v>
      </c>
      <c r="E515" t="s">
        <v>51</v>
      </c>
      <c r="F515" s="6">
        <v>45161</v>
      </c>
      <c r="G515" s="7">
        <v>0.9375</v>
      </c>
      <c r="H515" t="s">
        <v>49</v>
      </c>
      <c r="I515" s="5">
        <v>94</v>
      </c>
      <c r="J515" t="s">
        <v>110</v>
      </c>
      <c r="K515" s="6">
        <v>45162</v>
      </c>
      <c r="L515" s="23">
        <v>0.29166666666666702</v>
      </c>
      <c r="M515" s="5">
        <v>120034</v>
      </c>
      <c r="N515" s="5" t="s">
        <v>69</v>
      </c>
      <c r="O515" s="8" t="s">
        <v>56</v>
      </c>
      <c r="Q515" t="s">
        <v>93</v>
      </c>
      <c r="R515" s="5" t="s">
        <v>94</v>
      </c>
      <c r="S515" s="9">
        <v>10</v>
      </c>
      <c r="T515" s="9">
        <v>5</v>
      </c>
      <c r="U515" s="9">
        <v>5</v>
      </c>
      <c r="V515" s="10">
        <f>Table1[[#This Row],[MARGIN '[€']]]/Table1[[#This Row],[SALES '[€']]]</f>
        <v>0.5</v>
      </c>
      <c r="W515" s="5">
        <v>9215166919</v>
      </c>
      <c r="X515" s="5" t="s">
        <v>1147</v>
      </c>
      <c r="Y515" s="4">
        <v>345</v>
      </c>
      <c r="AA515" t="s">
        <v>89</v>
      </c>
      <c r="AL515" t="s">
        <v>61</v>
      </c>
    </row>
    <row r="516" spans="1:40" x14ac:dyDescent="0.25">
      <c r="A516" s="4">
        <v>34</v>
      </c>
      <c r="B516" t="s">
        <v>48</v>
      </c>
      <c r="C516" t="s">
        <v>49</v>
      </c>
      <c r="D516" s="5" t="s">
        <v>50</v>
      </c>
      <c r="E516" t="s">
        <v>51</v>
      </c>
      <c r="F516" s="6">
        <v>45161</v>
      </c>
      <c r="G516" s="7">
        <v>0.52083333333333304</v>
      </c>
      <c r="H516" t="s">
        <v>49</v>
      </c>
      <c r="I516" s="5">
        <v>94</v>
      </c>
      <c r="J516" t="s">
        <v>110</v>
      </c>
      <c r="K516" s="6">
        <v>45162</v>
      </c>
      <c r="L516" s="23">
        <v>0.33333333333333298</v>
      </c>
      <c r="M516" s="5">
        <v>120035</v>
      </c>
      <c r="N516" s="5" t="s">
        <v>69</v>
      </c>
      <c r="O516" s="8" t="s">
        <v>56</v>
      </c>
      <c r="Q516" t="s">
        <v>682</v>
      </c>
      <c r="R516" s="5" t="s">
        <v>683</v>
      </c>
      <c r="S516" s="9">
        <v>10</v>
      </c>
      <c r="T516" s="9">
        <v>5</v>
      </c>
      <c r="U516" s="9">
        <v>5</v>
      </c>
      <c r="V516" s="10">
        <f>Table1[[#This Row],[MARGIN '[€']]]/Table1[[#This Row],[SALES '[€']]]</f>
        <v>0.5</v>
      </c>
      <c r="W516" s="5">
        <v>9215166740</v>
      </c>
      <c r="X516" s="5" t="s">
        <v>1148</v>
      </c>
      <c r="Y516" s="4">
        <v>345</v>
      </c>
      <c r="AA516" t="s">
        <v>89</v>
      </c>
      <c r="AL516" t="s">
        <v>61</v>
      </c>
    </row>
    <row r="517" spans="1:40" x14ac:dyDescent="0.25">
      <c r="A517" s="4">
        <v>34</v>
      </c>
      <c r="B517" t="s">
        <v>48</v>
      </c>
      <c r="C517" t="s">
        <v>49</v>
      </c>
      <c r="D517" s="5" t="s">
        <v>50</v>
      </c>
      <c r="E517" t="s">
        <v>51</v>
      </c>
      <c r="F517" s="6">
        <v>45161</v>
      </c>
      <c r="G517" s="7">
        <v>0.63888888888888895</v>
      </c>
      <c r="H517" t="s">
        <v>49</v>
      </c>
      <c r="I517" s="5">
        <v>94</v>
      </c>
      <c r="J517" t="s">
        <v>110</v>
      </c>
      <c r="K517" s="6">
        <v>45162</v>
      </c>
      <c r="L517" s="23">
        <v>0.375</v>
      </c>
      <c r="M517" s="5">
        <v>120036</v>
      </c>
      <c r="N517" s="5" t="s">
        <v>69</v>
      </c>
      <c r="O517" s="8" t="s">
        <v>56</v>
      </c>
      <c r="Q517" t="s">
        <v>1149</v>
      </c>
      <c r="R517" s="5" t="s">
        <v>177</v>
      </c>
      <c r="S517" s="9">
        <v>10</v>
      </c>
      <c r="T517" s="9">
        <v>5</v>
      </c>
      <c r="U517" s="9">
        <v>5</v>
      </c>
      <c r="V517" s="10">
        <f>Table1[[#This Row],[MARGIN '[€']]]/Table1[[#This Row],[SALES '[€']]]</f>
        <v>0.5</v>
      </c>
      <c r="W517" s="5">
        <v>9215166920</v>
      </c>
      <c r="X517" s="5" t="s">
        <v>1150</v>
      </c>
      <c r="Y517" s="4">
        <v>345</v>
      </c>
      <c r="AA517" t="s">
        <v>89</v>
      </c>
      <c r="AL517" t="s">
        <v>61</v>
      </c>
    </row>
    <row r="518" spans="1:40" x14ac:dyDescent="0.25">
      <c r="A518" s="4">
        <v>34</v>
      </c>
      <c r="B518" t="s">
        <v>48</v>
      </c>
      <c r="C518" t="s">
        <v>49</v>
      </c>
      <c r="D518" s="5" t="s">
        <v>50</v>
      </c>
      <c r="E518" t="s">
        <v>51</v>
      </c>
      <c r="F518" s="6">
        <v>45161</v>
      </c>
      <c r="G518" s="7">
        <v>0.56944444444444398</v>
      </c>
      <c r="H518" t="s">
        <v>49</v>
      </c>
      <c r="I518" s="5">
        <v>94</v>
      </c>
      <c r="J518" t="s">
        <v>110</v>
      </c>
      <c r="K518" s="6">
        <v>45162</v>
      </c>
      <c r="L518" s="23">
        <v>0.41666666666666702</v>
      </c>
      <c r="M518" s="5">
        <v>120037</v>
      </c>
      <c r="N518" s="5" t="s">
        <v>69</v>
      </c>
      <c r="O518" s="8" t="s">
        <v>56</v>
      </c>
      <c r="Q518" t="s">
        <v>428</v>
      </c>
      <c r="R518" s="5" t="s">
        <v>207</v>
      </c>
      <c r="S518" s="9">
        <v>10</v>
      </c>
      <c r="T518" s="9">
        <v>5</v>
      </c>
      <c r="U518" s="9">
        <v>5</v>
      </c>
      <c r="V518" s="10">
        <f>Table1[[#This Row],[MARGIN '[€']]]/Table1[[#This Row],[SALES '[€']]]</f>
        <v>0.5</v>
      </c>
      <c r="W518" s="5">
        <v>9215166869</v>
      </c>
      <c r="X518" s="5" t="s">
        <v>1151</v>
      </c>
      <c r="Y518" s="4">
        <v>345</v>
      </c>
      <c r="AA518" t="s">
        <v>89</v>
      </c>
      <c r="AL518" t="s">
        <v>61</v>
      </c>
    </row>
    <row r="519" spans="1:40" x14ac:dyDescent="0.25">
      <c r="A519" s="4">
        <v>34</v>
      </c>
      <c r="B519" t="s">
        <v>48</v>
      </c>
      <c r="C519" t="s">
        <v>49</v>
      </c>
      <c r="D519" s="5" t="s">
        <v>50</v>
      </c>
      <c r="E519" t="s">
        <v>51</v>
      </c>
      <c r="F519" s="6">
        <v>45161</v>
      </c>
      <c r="G519" s="7" t="s">
        <v>1050</v>
      </c>
      <c r="H519" t="s">
        <v>90</v>
      </c>
      <c r="I519" s="5">
        <v>24</v>
      </c>
      <c r="J519" t="s">
        <v>92</v>
      </c>
      <c r="K519" s="6">
        <v>45161</v>
      </c>
      <c r="L519" s="23" t="s">
        <v>210</v>
      </c>
      <c r="M519" s="5">
        <v>120059</v>
      </c>
      <c r="N519" s="5" t="s">
        <v>69</v>
      </c>
      <c r="O519" s="8" t="s">
        <v>56</v>
      </c>
      <c r="Q519" t="s">
        <v>614</v>
      </c>
      <c r="R519" s="5" t="s">
        <v>615</v>
      </c>
      <c r="S519" s="9">
        <v>10</v>
      </c>
      <c r="T519" s="9">
        <v>5</v>
      </c>
      <c r="U519" s="9">
        <v>5</v>
      </c>
      <c r="V519" s="10">
        <f>Table1[[#This Row],[MARGIN '[€']]]/Table1[[#This Row],[SALES '[€']]]</f>
        <v>0.5</v>
      </c>
      <c r="Y519" s="4">
        <v>441</v>
      </c>
      <c r="Z519" t="s">
        <v>1152</v>
      </c>
      <c r="AA519" t="s">
        <v>89</v>
      </c>
      <c r="AL519" t="s">
        <v>214</v>
      </c>
    </row>
    <row r="520" spans="1:40" x14ac:dyDescent="0.25">
      <c r="A520" s="4">
        <v>34</v>
      </c>
      <c r="B520" t="s">
        <v>48</v>
      </c>
      <c r="C520" t="s">
        <v>49</v>
      </c>
      <c r="D520" s="5" t="s">
        <v>50</v>
      </c>
      <c r="E520" t="s">
        <v>51</v>
      </c>
      <c r="F520" s="6">
        <v>45161</v>
      </c>
      <c r="G520" s="7">
        <v>0.58333333333333304</v>
      </c>
      <c r="H520" t="s">
        <v>90</v>
      </c>
      <c r="I520" s="5">
        <v>24</v>
      </c>
      <c r="J520" t="s">
        <v>92</v>
      </c>
      <c r="K520" s="6">
        <v>45162</v>
      </c>
      <c r="L520" s="23">
        <v>0.30902777777777801</v>
      </c>
      <c r="M520" s="5">
        <v>120062</v>
      </c>
      <c r="N520" s="5" t="s">
        <v>69</v>
      </c>
      <c r="O520" s="8" t="s">
        <v>56</v>
      </c>
      <c r="P520" t="s">
        <v>76</v>
      </c>
      <c r="Q520" t="s">
        <v>117</v>
      </c>
      <c r="R520" s="5" t="s">
        <v>118</v>
      </c>
      <c r="S520" s="9">
        <v>10</v>
      </c>
      <c r="T520" s="9">
        <v>5</v>
      </c>
      <c r="U520" s="9">
        <v>5</v>
      </c>
      <c r="V520" s="10">
        <f>Table1[[#This Row],[MARGIN '[€']]]/Table1[[#This Row],[SALES '[€']]]</f>
        <v>0.5</v>
      </c>
      <c r="W520" s="5" t="s">
        <v>1153</v>
      </c>
      <c r="X520" s="5" t="s">
        <v>1154</v>
      </c>
      <c r="Y520" s="4">
        <v>441</v>
      </c>
      <c r="Z520" t="s">
        <v>1155</v>
      </c>
      <c r="AA520" t="s">
        <v>89</v>
      </c>
      <c r="AL520" t="s">
        <v>61</v>
      </c>
    </row>
    <row r="521" spans="1:40" x14ac:dyDescent="0.25">
      <c r="A521" s="4">
        <v>34</v>
      </c>
      <c r="B521" t="s">
        <v>48</v>
      </c>
      <c r="C521" t="s">
        <v>49</v>
      </c>
      <c r="D521" s="5" t="s">
        <v>50</v>
      </c>
      <c r="E521" t="s">
        <v>51</v>
      </c>
      <c r="F521" s="6">
        <v>45161</v>
      </c>
      <c r="G521" s="7">
        <v>0.3125</v>
      </c>
      <c r="H521" t="s">
        <v>90</v>
      </c>
      <c r="I521" s="5">
        <v>24</v>
      </c>
      <c r="J521" t="s">
        <v>92</v>
      </c>
      <c r="K521" s="6">
        <v>45162</v>
      </c>
      <c r="L521" s="23">
        <v>0.61458333333333304</v>
      </c>
      <c r="M521" s="5">
        <v>120063</v>
      </c>
      <c r="N521" s="5" t="s">
        <v>69</v>
      </c>
      <c r="O521" s="8" t="s">
        <v>56</v>
      </c>
      <c r="Q521" t="s">
        <v>104</v>
      </c>
      <c r="R521" s="5" t="s">
        <v>94</v>
      </c>
      <c r="S521" s="9">
        <v>10</v>
      </c>
      <c r="T521" s="9">
        <v>5</v>
      </c>
      <c r="U521" s="9">
        <v>5</v>
      </c>
      <c r="V521" s="10">
        <f>Table1[[#This Row],[MARGIN '[€']]]/Table1[[#This Row],[SALES '[€']]]</f>
        <v>0.5</v>
      </c>
      <c r="W521" s="5">
        <v>9215166921</v>
      </c>
      <c r="X521" s="5" t="s">
        <v>1156</v>
      </c>
      <c r="Y521" s="4">
        <v>441</v>
      </c>
      <c r="Z521" t="s">
        <v>1157</v>
      </c>
      <c r="AA521" t="s">
        <v>89</v>
      </c>
      <c r="AL521" t="s">
        <v>61</v>
      </c>
    </row>
    <row r="522" spans="1:40" x14ac:dyDescent="0.25">
      <c r="A522" s="4">
        <v>34</v>
      </c>
      <c r="B522" t="s">
        <v>48</v>
      </c>
      <c r="C522" t="s">
        <v>49</v>
      </c>
      <c r="D522" s="5" t="s">
        <v>50</v>
      </c>
      <c r="E522" t="s">
        <v>51</v>
      </c>
      <c r="F522" s="6">
        <v>45161</v>
      </c>
      <c r="H522" t="s">
        <v>90</v>
      </c>
      <c r="I522" s="5">
        <v>24</v>
      </c>
      <c r="J522" t="s">
        <v>92</v>
      </c>
      <c r="K522" s="6">
        <v>45162</v>
      </c>
      <c r="L522" s="23" t="s">
        <v>210</v>
      </c>
      <c r="M522" s="5">
        <v>120064</v>
      </c>
      <c r="N522" s="5" t="s">
        <v>69</v>
      </c>
      <c r="O522" s="8" t="s">
        <v>56</v>
      </c>
      <c r="R522" s="5" t="s">
        <v>98</v>
      </c>
      <c r="S522" s="9">
        <v>10</v>
      </c>
      <c r="T522" s="9">
        <v>5</v>
      </c>
      <c r="U522" s="9">
        <v>5</v>
      </c>
      <c r="V522" s="10">
        <f>Table1[[#This Row],[MARGIN '[€']]]/Table1[[#This Row],[SALES '[€']]]</f>
        <v>0.5</v>
      </c>
      <c r="Y522" s="4">
        <v>441</v>
      </c>
      <c r="Z522" t="s">
        <v>1158</v>
      </c>
      <c r="AA522" t="s">
        <v>89</v>
      </c>
      <c r="AL522" t="s">
        <v>214</v>
      </c>
    </row>
    <row r="523" spans="1:40" x14ac:dyDescent="0.25">
      <c r="A523" s="4">
        <v>34</v>
      </c>
      <c r="B523" t="s">
        <v>137</v>
      </c>
      <c r="C523" t="s">
        <v>49</v>
      </c>
      <c r="D523" s="5" t="s">
        <v>50</v>
      </c>
      <c r="E523" t="s">
        <v>51</v>
      </c>
      <c r="F523" s="6">
        <v>45161</v>
      </c>
      <c r="G523" s="7">
        <v>0.625</v>
      </c>
      <c r="H523" t="s">
        <v>49</v>
      </c>
      <c r="I523" s="5" t="s">
        <v>102</v>
      </c>
      <c r="J523" t="s">
        <v>103</v>
      </c>
      <c r="K523" s="6">
        <v>45161</v>
      </c>
      <c r="L523" s="23">
        <v>0.6875</v>
      </c>
      <c r="M523" s="5" t="s">
        <v>1159</v>
      </c>
      <c r="N523" s="5" t="s">
        <v>55</v>
      </c>
      <c r="O523" s="8" t="s">
        <v>56</v>
      </c>
      <c r="Q523" t="s">
        <v>885</v>
      </c>
      <c r="R523" s="5" t="s">
        <v>611</v>
      </c>
      <c r="S523" s="9">
        <v>10</v>
      </c>
      <c r="T523" s="9">
        <v>5</v>
      </c>
      <c r="U523" s="9">
        <v>5</v>
      </c>
      <c r="V523" s="10">
        <f>Table1[[#This Row],[MARGIN '[€']]]/Table1[[#This Row],[SALES '[€']]]</f>
        <v>0.5</v>
      </c>
      <c r="W523" s="5">
        <v>9215166853</v>
      </c>
      <c r="X523" s="5" t="s">
        <v>1160</v>
      </c>
      <c r="Y523" s="4">
        <v>57</v>
      </c>
      <c r="Z523">
        <v>1</v>
      </c>
      <c r="AA523" t="s">
        <v>163</v>
      </c>
      <c r="AL523" t="s">
        <v>61</v>
      </c>
      <c r="AN523">
        <v>921</v>
      </c>
    </row>
    <row r="524" spans="1:40" x14ac:dyDescent="0.25">
      <c r="A524" s="4">
        <v>34</v>
      </c>
      <c r="B524" t="s">
        <v>476</v>
      </c>
      <c r="C524" t="s">
        <v>153</v>
      </c>
      <c r="D524" s="5" t="s">
        <v>477</v>
      </c>
      <c r="E524" t="s">
        <v>478</v>
      </c>
      <c r="F524" s="6">
        <v>45162</v>
      </c>
      <c r="G524" s="7">
        <v>0.79166666666666696</v>
      </c>
      <c r="H524" t="s">
        <v>49</v>
      </c>
      <c r="I524" s="5" t="s">
        <v>479</v>
      </c>
      <c r="J524" t="s">
        <v>480</v>
      </c>
      <c r="K524" s="6">
        <v>45166</v>
      </c>
      <c r="L524" s="23">
        <v>0.41666666666666702</v>
      </c>
      <c r="N524" s="5" t="s">
        <v>55</v>
      </c>
      <c r="O524" s="8" t="s">
        <v>56</v>
      </c>
      <c r="P524" t="s">
        <v>238</v>
      </c>
      <c r="Q524" t="s">
        <v>1161</v>
      </c>
      <c r="R524" s="5" t="s">
        <v>482</v>
      </c>
      <c r="S524" s="9">
        <v>10</v>
      </c>
      <c r="T524" s="9">
        <v>5</v>
      </c>
      <c r="U524" s="9">
        <v>5</v>
      </c>
      <c r="V524" s="10">
        <f>Table1[[#This Row],[MARGIN '[€']]]/Table1[[#This Row],[SALES '[€']]]</f>
        <v>0.5</v>
      </c>
      <c r="W524" s="5">
        <v>9215166918</v>
      </c>
      <c r="X524" s="5" t="s">
        <v>1162</v>
      </c>
      <c r="Y524" s="4">
        <v>1900</v>
      </c>
      <c r="AA524" t="s">
        <v>73</v>
      </c>
      <c r="AL524" t="s">
        <v>61</v>
      </c>
    </row>
    <row r="525" spans="1:40" x14ac:dyDescent="0.25">
      <c r="A525" s="4">
        <v>34</v>
      </c>
      <c r="B525" t="s">
        <v>333</v>
      </c>
      <c r="C525" t="s">
        <v>49</v>
      </c>
      <c r="D525" s="5" t="s">
        <v>334</v>
      </c>
      <c r="E525" t="s">
        <v>335</v>
      </c>
      <c r="F525" s="6">
        <v>45162</v>
      </c>
      <c r="G525" s="7">
        <v>0.79166666666666696</v>
      </c>
      <c r="H525" t="s">
        <v>138</v>
      </c>
      <c r="I525" s="5">
        <v>13</v>
      </c>
      <c r="J525" t="s">
        <v>594</v>
      </c>
      <c r="K525" s="6">
        <v>45167</v>
      </c>
      <c r="L525" s="23">
        <v>0.72916666666666696</v>
      </c>
      <c r="M525" s="5">
        <v>1002939538</v>
      </c>
      <c r="N525" s="5" t="s">
        <v>337</v>
      </c>
      <c r="O525" s="8" t="s">
        <v>338</v>
      </c>
      <c r="P525" t="s">
        <v>393</v>
      </c>
      <c r="Q525" t="s">
        <v>1163</v>
      </c>
      <c r="R525" s="5" t="s">
        <v>513</v>
      </c>
      <c r="S525" s="9">
        <v>10</v>
      </c>
      <c r="T525" s="9">
        <v>5</v>
      </c>
      <c r="U525" s="9">
        <v>5</v>
      </c>
      <c r="V525" s="10">
        <f>Table1[[#This Row],[MARGIN '[€']]]/Table1[[#This Row],[SALES '[€']]]</f>
        <v>0.5</v>
      </c>
      <c r="W525" s="5">
        <v>9215166774</v>
      </c>
      <c r="X525" s="5" t="s">
        <v>1164</v>
      </c>
      <c r="Y525" s="4">
        <v>1860</v>
      </c>
      <c r="AA525" t="s">
        <v>342</v>
      </c>
      <c r="AL525" t="s">
        <v>61</v>
      </c>
    </row>
    <row r="526" spans="1:40" x14ac:dyDescent="0.25">
      <c r="A526" s="4">
        <v>34</v>
      </c>
      <c r="B526" t="s">
        <v>333</v>
      </c>
      <c r="C526" t="s">
        <v>49</v>
      </c>
      <c r="D526" s="5" t="s">
        <v>334</v>
      </c>
      <c r="E526" t="s">
        <v>335</v>
      </c>
      <c r="F526" s="6">
        <v>45162</v>
      </c>
      <c r="G526" s="7">
        <v>0.45833333333333298</v>
      </c>
      <c r="H526" t="s">
        <v>216</v>
      </c>
      <c r="I526" s="5">
        <v>68</v>
      </c>
      <c r="J526" t="s">
        <v>1165</v>
      </c>
      <c r="K526" s="6">
        <v>45163</v>
      </c>
      <c r="L526" s="23">
        <v>0.375</v>
      </c>
      <c r="M526" s="5">
        <v>1002942738</v>
      </c>
      <c r="N526" s="5" t="s">
        <v>337</v>
      </c>
      <c r="O526" s="8" t="s">
        <v>338</v>
      </c>
      <c r="Q526" t="s">
        <v>658</v>
      </c>
      <c r="R526" s="5" t="s">
        <v>659</v>
      </c>
      <c r="S526" s="9">
        <v>10</v>
      </c>
      <c r="T526" s="9">
        <v>5</v>
      </c>
      <c r="U526" s="9">
        <v>5</v>
      </c>
      <c r="V526" s="10">
        <f>Table1[[#This Row],[MARGIN '[€']]]/Table1[[#This Row],[SALES '[€']]]</f>
        <v>0.5</v>
      </c>
      <c r="W526" s="5">
        <v>9215166911</v>
      </c>
      <c r="X526" s="5" t="s">
        <v>1166</v>
      </c>
      <c r="Y526" s="4">
        <v>460</v>
      </c>
      <c r="Z526">
        <v>125</v>
      </c>
      <c r="AA526" t="s">
        <v>163</v>
      </c>
      <c r="AL526" t="s">
        <v>61</v>
      </c>
      <c r="AN526">
        <v>921</v>
      </c>
    </row>
    <row r="527" spans="1:40" x14ac:dyDescent="0.25">
      <c r="A527" s="4">
        <v>34</v>
      </c>
      <c r="B527" t="s">
        <v>607</v>
      </c>
      <c r="C527" t="s">
        <v>138</v>
      </c>
      <c r="D527" s="5" t="s">
        <v>878</v>
      </c>
      <c r="E527" t="s">
        <v>1041</v>
      </c>
      <c r="F527" s="6">
        <v>45162</v>
      </c>
      <c r="G527" s="7">
        <v>0.29166666666666702</v>
      </c>
      <c r="H527" t="s">
        <v>49</v>
      </c>
      <c r="I527" s="5" t="s">
        <v>156</v>
      </c>
      <c r="J527" t="s">
        <v>880</v>
      </c>
      <c r="K527" s="6">
        <v>45163</v>
      </c>
      <c r="L527" s="23">
        <v>0.52083333333333304</v>
      </c>
      <c r="M527" s="5" t="s">
        <v>1167</v>
      </c>
      <c r="N527" s="5" t="s">
        <v>55</v>
      </c>
      <c r="O527" s="8" t="s">
        <v>56</v>
      </c>
      <c r="P527" t="s">
        <v>609</v>
      </c>
      <c r="Q527" t="s">
        <v>564</v>
      </c>
      <c r="R527" s="5" t="s">
        <v>565</v>
      </c>
      <c r="S527" s="9">
        <v>10</v>
      </c>
      <c r="T527" s="9">
        <v>5</v>
      </c>
      <c r="U527" s="9">
        <v>5</v>
      </c>
      <c r="V527" s="10">
        <f>Table1[[#This Row],[MARGIN '[€']]]/Table1[[#This Row],[SALES '[€']]]</f>
        <v>0.5</v>
      </c>
      <c r="W527" s="5">
        <v>2003372053</v>
      </c>
      <c r="X527" s="5" t="s">
        <v>1168</v>
      </c>
      <c r="Y527" s="4">
        <v>1057</v>
      </c>
      <c r="Z527">
        <v>0</v>
      </c>
      <c r="AA527" t="s">
        <v>163</v>
      </c>
      <c r="AL527" t="s">
        <v>61</v>
      </c>
      <c r="AN527" t="s">
        <v>613</v>
      </c>
    </row>
    <row r="528" spans="1:40" x14ac:dyDescent="0.25">
      <c r="A528" s="4">
        <v>34</v>
      </c>
      <c r="B528" t="s">
        <v>48</v>
      </c>
      <c r="C528" t="s">
        <v>49</v>
      </c>
      <c r="D528" s="5" t="s">
        <v>50</v>
      </c>
      <c r="E528" t="s">
        <v>51</v>
      </c>
      <c r="F528" s="6">
        <v>45162</v>
      </c>
      <c r="G528" s="7">
        <v>0.47222222222222199</v>
      </c>
      <c r="H528" t="s">
        <v>66</v>
      </c>
      <c r="I528" s="5">
        <v>32</v>
      </c>
      <c r="J528" t="s">
        <v>68</v>
      </c>
      <c r="K528" s="6">
        <v>45163</v>
      </c>
      <c r="L528" s="23">
        <v>8.3333333333333301E-2</v>
      </c>
      <c r="M528" s="5">
        <v>119920</v>
      </c>
      <c r="N528" s="5" t="s">
        <v>69</v>
      </c>
      <c r="O528" s="8" t="s">
        <v>56</v>
      </c>
      <c r="P528" t="s">
        <v>76</v>
      </c>
      <c r="Q528" t="s">
        <v>1169</v>
      </c>
      <c r="R528" s="5" t="s">
        <v>177</v>
      </c>
      <c r="S528" s="9">
        <v>10</v>
      </c>
      <c r="T528" s="9">
        <v>5</v>
      </c>
      <c r="U528" s="9">
        <v>5</v>
      </c>
      <c r="V528" s="10">
        <f>Table1[[#This Row],[MARGIN '[€']]]/Table1[[#This Row],[SALES '[€']]]</f>
        <v>0.5</v>
      </c>
      <c r="W528" s="5" t="s">
        <v>1170</v>
      </c>
      <c r="X528" s="5" t="s">
        <v>1171</v>
      </c>
      <c r="Y528" s="4">
        <v>316</v>
      </c>
      <c r="AA528" t="s">
        <v>73</v>
      </c>
      <c r="AL528" t="s">
        <v>61</v>
      </c>
    </row>
    <row r="529" spans="1:38" x14ac:dyDescent="0.25">
      <c r="A529" s="4">
        <v>34</v>
      </c>
      <c r="B529" t="s">
        <v>48</v>
      </c>
      <c r="C529" t="s">
        <v>49</v>
      </c>
      <c r="D529" s="5" t="s">
        <v>50</v>
      </c>
      <c r="E529" t="s">
        <v>51</v>
      </c>
      <c r="F529" s="6">
        <v>45162</v>
      </c>
      <c r="G529" s="7">
        <v>0.56944444444444398</v>
      </c>
      <c r="H529" t="s">
        <v>66</v>
      </c>
      <c r="I529" s="5">
        <v>32</v>
      </c>
      <c r="J529" t="s">
        <v>68</v>
      </c>
      <c r="K529" s="6">
        <v>45163</v>
      </c>
      <c r="L529" s="23">
        <v>0.58333333333333304</v>
      </c>
      <c r="M529" s="5">
        <v>119923</v>
      </c>
      <c r="N529" s="5" t="s">
        <v>69</v>
      </c>
      <c r="O529" s="8" t="s">
        <v>56</v>
      </c>
      <c r="Q529" t="s">
        <v>1061</v>
      </c>
      <c r="R529" s="5" t="s">
        <v>71</v>
      </c>
      <c r="S529" s="9">
        <v>10</v>
      </c>
      <c r="T529" s="9">
        <v>5</v>
      </c>
      <c r="U529" s="9">
        <v>5</v>
      </c>
      <c r="V529" s="10">
        <f>Table1[[#This Row],[MARGIN '[€']]]/Table1[[#This Row],[SALES '[€']]]</f>
        <v>0.5</v>
      </c>
      <c r="W529" s="5">
        <v>9215167000</v>
      </c>
      <c r="X529" s="5" t="s">
        <v>1172</v>
      </c>
      <c r="Y529" s="4">
        <v>316</v>
      </c>
      <c r="AA529" t="s">
        <v>73</v>
      </c>
      <c r="AL529" t="s">
        <v>61</v>
      </c>
    </row>
    <row r="530" spans="1:38" x14ac:dyDescent="0.25">
      <c r="A530" s="4">
        <v>34</v>
      </c>
      <c r="B530" t="s">
        <v>48</v>
      </c>
      <c r="C530" t="s">
        <v>49</v>
      </c>
      <c r="D530" s="5" t="s">
        <v>50</v>
      </c>
      <c r="E530" t="s">
        <v>51</v>
      </c>
      <c r="F530" s="6">
        <v>45162</v>
      </c>
      <c r="G530" s="7">
        <v>0.58333333333333304</v>
      </c>
      <c r="H530" t="s">
        <v>52</v>
      </c>
      <c r="I530" s="5">
        <v>23</v>
      </c>
      <c r="J530" t="s">
        <v>85</v>
      </c>
      <c r="K530" s="6">
        <v>45162</v>
      </c>
      <c r="L530" s="23">
        <v>0.83333333333333304</v>
      </c>
      <c r="M530" s="5">
        <v>119956</v>
      </c>
      <c r="N530" s="5" t="s">
        <v>69</v>
      </c>
      <c r="O530" s="8" t="s">
        <v>56</v>
      </c>
      <c r="P530" t="s">
        <v>76</v>
      </c>
      <c r="Q530" t="s">
        <v>86</v>
      </c>
      <c r="R530" s="5" t="s">
        <v>58</v>
      </c>
      <c r="S530" s="9">
        <v>10</v>
      </c>
      <c r="T530" s="9">
        <v>5</v>
      </c>
      <c r="U530" s="9">
        <v>5</v>
      </c>
      <c r="V530" s="10">
        <f>Table1[[#This Row],[MARGIN '[€']]]/Table1[[#This Row],[SALES '[€']]]</f>
        <v>0.5</v>
      </c>
      <c r="W530" s="5" t="s">
        <v>1173</v>
      </c>
      <c r="X530" s="5" t="s">
        <v>1174</v>
      </c>
      <c r="Y530" s="4">
        <v>261</v>
      </c>
      <c r="AA530" t="s">
        <v>89</v>
      </c>
      <c r="AL530" t="s">
        <v>61</v>
      </c>
    </row>
    <row r="531" spans="1:38" x14ac:dyDescent="0.25">
      <c r="A531" s="4">
        <v>34</v>
      </c>
      <c r="B531" t="s">
        <v>48</v>
      </c>
      <c r="C531" t="s">
        <v>49</v>
      </c>
      <c r="D531" s="5" t="s">
        <v>50</v>
      </c>
      <c r="E531" t="s">
        <v>51</v>
      </c>
      <c r="F531" s="6">
        <v>45162</v>
      </c>
      <c r="G531" s="7">
        <v>0.41666666666666702</v>
      </c>
      <c r="H531" t="s">
        <v>52</v>
      </c>
      <c r="I531" s="5">
        <v>23</v>
      </c>
      <c r="J531" t="s">
        <v>85</v>
      </c>
      <c r="K531" s="6">
        <v>45163</v>
      </c>
      <c r="L531" s="23">
        <v>0.25</v>
      </c>
      <c r="M531" s="5">
        <v>119957</v>
      </c>
      <c r="N531" s="5" t="s">
        <v>69</v>
      </c>
      <c r="O531" s="8" t="s">
        <v>56</v>
      </c>
      <c r="Q531" t="s">
        <v>1175</v>
      </c>
      <c r="R531" s="5" t="s">
        <v>71</v>
      </c>
      <c r="S531" s="9">
        <v>10</v>
      </c>
      <c r="T531" s="9">
        <v>5</v>
      </c>
      <c r="U531" s="9">
        <v>5</v>
      </c>
      <c r="V531" s="10">
        <f>Table1[[#This Row],[MARGIN '[€']]]/Table1[[#This Row],[SALES '[€']]]</f>
        <v>0.5</v>
      </c>
      <c r="W531" s="5">
        <v>9215166962</v>
      </c>
      <c r="X531" s="5" t="s">
        <v>1176</v>
      </c>
      <c r="Y531" s="4">
        <v>261</v>
      </c>
      <c r="AA531" t="s">
        <v>89</v>
      </c>
      <c r="AL531" t="s">
        <v>61</v>
      </c>
    </row>
    <row r="532" spans="1:38" x14ac:dyDescent="0.25">
      <c r="A532" s="4">
        <v>34</v>
      </c>
      <c r="B532" t="s">
        <v>48</v>
      </c>
      <c r="C532" t="s">
        <v>49</v>
      </c>
      <c r="D532" s="5" t="s">
        <v>50</v>
      </c>
      <c r="E532" t="s">
        <v>51</v>
      </c>
      <c r="F532" s="6">
        <v>45162</v>
      </c>
      <c r="G532" s="7">
        <v>0.16666666666666699</v>
      </c>
      <c r="H532" t="s">
        <v>52</v>
      </c>
      <c r="I532" s="5">
        <v>35</v>
      </c>
      <c r="J532" t="s">
        <v>54</v>
      </c>
      <c r="K532" s="6">
        <v>45162</v>
      </c>
      <c r="L532" s="23">
        <v>0.75</v>
      </c>
      <c r="M532" s="5">
        <v>120007</v>
      </c>
      <c r="N532" s="5" t="s">
        <v>55</v>
      </c>
      <c r="O532" s="8" t="s">
        <v>56</v>
      </c>
      <c r="Q532" t="s">
        <v>62</v>
      </c>
      <c r="R532" s="5" t="s">
        <v>58</v>
      </c>
      <c r="S532" s="9">
        <v>10</v>
      </c>
      <c r="T532" s="9">
        <v>5</v>
      </c>
      <c r="U532" s="9">
        <v>5</v>
      </c>
      <c r="V532" s="10">
        <f>Table1[[#This Row],[MARGIN '[€']]]/Table1[[#This Row],[SALES '[€']]]</f>
        <v>0.5</v>
      </c>
      <c r="W532" s="5">
        <v>9215166865</v>
      </c>
      <c r="X532" s="5" t="s">
        <v>1177</v>
      </c>
      <c r="Y532" s="4">
        <v>82</v>
      </c>
      <c r="AA532" t="s">
        <v>89</v>
      </c>
      <c r="AL532" t="s">
        <v>61</v>
      </c>
    </row>
    <row r="533" spans="1:38" x14ac:dyDescent="0.25">
      <c r="A533" s="4">
        <v>34</v>
      </c>
      <c r="B533" t="s">
        <v>48</v>
      </c>
      <c r="C533" t="s">
        <v>49</v>
      </c>
      <c r="D533" s="5" t="s">
        <v>50</v>
      </c>
      <c r="E533" t="s">
        <v>51</v>
      </c>
      <c r="F533" s="6">
        <v>45162</v>
      </c>
      <c r="G533" s="7">
        <v>0.1875</v>
      </c>
      <c r="H533" t="s">
        <v>52</v>
      </c>
      <c r="I533" s="5">
        <v>35</v>
      </c>
      <c r="J533" t="s">
        <v>54</v>
      </c>
      <c r="K533" s="6">
        <v>45162</v>
      </c>
      <c r="L533" s="23">
        <v>0.75</v>
      </c>
      <c r="M533" s="5">
        <v>120008</v>
      </c>
      <c r="N533" s="5" t="s">
        <v>55</v>
      </c>
      <c r="O533" s="8" t="s">
        <v>56</v>
      </c>
      <c r="Q533" t="s">
        <v>57</v>
      </c>
      <c r="R533" s="5" t="s">
        <v>58</v>
      </c>
      <c r="S533" s="9">
        <v>10</v>
      </c>
      <c r="T533" s="9">
        <v>5</v>
      </c>
      <c r="U533" s="9">
        <v>5</v>
      </c>
      <c r="V533" s="10">
        <f>Table1[[#This Row],[MARGIN '[€']]]/Table1[[#This Row],[SALES '[€']]]</f>
        <v>0.5</v>
      </c>
      <c r="W533" s="5">
        <v>9215166867</v>
      </c>
      <c r="X533" s="5" t="s">
        <v>1178</v>
      </c>
      <c r="Y533" s="4">
        <v>82</v>
      </c>
      <c r="AA533" t="s">
        <v>89</v>
      </c>
      <c r="AL533" t="s">
        <v>61</v>
      </c>
    </row>
    <row r="534" spans="1:38" x14ac:dyDescent="0.25">
      <c r="A534" s="4">
        <v>34</v>
      </c>
      <c r="B534" t="s">
        <v>48</v>
      </c>
      <c r="C534" t="s">
        <v>49</v>
      </c>
      <c r="D534" s="5" t="s">
        <v>50</v>
      </c>
      <c r="E534" t="s">
        <v>51</v>
      </c>
      <c r="F534" s="6">
        <v>45162</v>
      </c>
      <c r="G534" s="7">
        <v>0.20833333333333301</v>
      </c>
      <c r="H534" t="s">
        <v>52</v>
      </c>
      <c r="I534" s="5">
        <v>35</v>
      </c>
      <c r="J534" t="s">
        <v>54</v>
      </c>
      <c r="K534" s="6">
        <v>45162</v>
      </c>
      <c r="L534" s="23">
        <v>0.75</v>
      </c>
      <c r="M534" s="5">
        <v>120009</v>
      </c>
      <c r="N534" s="5" t="s">
        <v>55</v>
      </c>
      <c r="O534" s="8" t="s">
        <v>56</v>
      </c>
      <c r="Q534" t="s">
        <v>64</v>
      </c>
      <c r="R534" s="5" t="s">
        <v>58</v>
      </c>
      <c r="S534" s="9">
        <v>10</v>
      </c>
      <c r="T534" s="9">
        <v>5</v>
      </c>
      <c r="U534" s="9">
        <v>5</v>
      </c>
      <c r="V534" s="10">
        <f>Table1[[#This Row],[MARGIN '[€']]]/Table1[[#This Row],[SALES '[€']]]</f>
        <v>0.5</v>
      </c>
      <c r="W534" s="5">
        <v>9215166870</v>
      </c>
      <c r="X534" s="5" t="s">
        <v>1179</v>
      </c>
      <c r="Y534" s="4">
        <v>82</v>
      </c>
      <c r="AA534" t="s">
        <v>89</v>
      </c>
      <c r="AL534" t="s">
        <v>61</v>
      </c>
    </row>
    <row r="535" spans="1:38" x14ac:dyDescent="0.25">
      <c r="A535" s="4">
        <v>34</v>
      </c>
      <c r="B535" t="s">
        <v>48</v>
      </c>
      <c r="C535" t="s">
        <v>49</v>
      </c>
      <c r="D535" s="5" t="s">
        <v>50</v>
      </c>
      <c r="E535" t="s">
        <v>51</v>
      </c>
      <c r="F535" s="6">
        <v>45162</v>
      </c>
      <c r="G535" s="7">
        <v>0.33333333333333298</v>
      </c>
      <c r="H535" t="s">
        <v>52</v>
      </c>
      <c r="I535" s="5">
        <v>35</v>
      </c>
      <c r="J535" t="s">
        <v>54</v>
      </c>
      <c r="K535" s="6">
        <v>45162</v>
      </c>
      <c r="L535" s="23">
        <v>0.75</v>
      </c>
      <c r="M535" s="5">
        <v>120010</v>
      </c>
      <c r="N535" s="5" t="s">
        <v>55</v>
      </c>
      <c r="O535" s="8" t="s">
        <v>56</v>
      </c>
      <c r="Q535" t="s">
        <v>62</v>
      </c>
      <c r="R535" s="5" t="s">
        <v>58</v>
      </c>
      <c r="S535" s="9">
        <v>10</v>
      </c>
      <c r="T535" s="9">
        <v>5</v>
      </c>
      <c r="U535" s="9">
        <v>5</v>
      </c>
      <c r="V535" s="10">
        <f>Table1[[#This Row],[MARGIN '[€']]]/Table1[[#This Row],[SALES '[€']]]</f>
        <v>0.5</v>
      </c>
      <c r="W535" s="5">
        <v>9215166866</v>
      </c>
      <c r="X535" s="5" t="s">
        <v>1177</v>
      </c>
      <c r="Y535" s="4">
        <v>82</v>
      </c>
      <c r="AA535" t="s">
        <v>89</v>
      </c>
      <c r="AL535" t="s">
        <v>61</v>
      </c>
    </row>
    <row r="536" spans="1:38" x14ac:dyDescent="0.25">
      <c r="A536" s="4">
        <v>34</v>
      </c>
      <c r="B536" t="s">
        <v>48</v>
      </c>
      <c r="C536" t="s">
        <v>49</v>
      </c>
      <c r="D536" s="5" t="s">
        <v>50</v>
      </c>
      <c r="E536" t="s">
        <v>51</v>
      </c>
      <c r="F536" s="6">
        <v>45162</v>
      </c>
      <c r="G536" s="7">
        <v>0.34722222222222199</v>
      </c>
      <c r="H536" t="s">
        <v>52</v>
      </c>
      <c r="I536" s="5">
        <v>35</v>
      </c>
      <c r="J536" t="s">
        <v>54</v>
      </c>
      <c r="K536" s="6">
        <v>45162</v>
      </c>
      <c r="L536" s="23">
        <v>0.75</v>
      </c>
      <c r="M536" s="5">
        <v>120011</v>
      </c>
      <c r="N536" s="5" t="s">
        <v>55</v>
      </c>
      <c r="O536" s="8" t="s">
        <v>56</v>
      </c>
      <c r="Q536" t="s">
        <v>57</v>
      </c>
      <c r="R536" s="5" t="s">
        <v>58</v>
      </c>
      <c r="S536" s="9">
        <v>10</v>
      </c>
      <c r="T536" s="9">
        <v>5</v>
      </c>
      <c r="U536" s="9">
        <v>5</v>
      </c>
      <c r="V536" s="10">
        <f>Table1[[#This Row],[MARGIN '[€']]]/Table1[[#This Row],[SALES '[€']]]</f>
        <v>0.5</v>
      </c>
      <c r="W536" s="5">
        <v>9215166868</v>
      </c>
      <c r="X536" s="5" t="s">
        <v>1178</v>
      </c>
      <c r="Y536" s="4">
        <v>82</v>
      </c>
      <c r="AA536" t="s">
        <v>89</v>
      </c>
      <c r="AL536" t="s">
        <v>61</v>
      </c>
    </row>
    <row r="537" spans="1:38" x14ac:dyDescent="0.25">
      <c r="A537" s="4">
        <v>34</v>
      </c>
      <c r="B537" t="s">
        <v>48</v>
      </c>
      <c r="C537" t="s">
        <v>49</v>
      </c>
      <c r="D537" s="5" t="s">
        <v>50</v>
      </c>
      <c r="E537" t="s">
        <v>51</v>
      </c>
      <c r="F537" s="6">
        <v>45162</v>
      </c>
      <c r="G537" s="7">
        <v>0.36111111111111099</v>
      </c>
      <c r="H537" t="s">
        <v>52</v>
      </c>
      <c r="I537" s="5">
        <v>35</v>
      </c>
      <c r="J537" t="s">
        <v>54</v>
      </c>
      <c r="K537" s="6">
        <v>45162</v>
      </c>
      <c r="L537" s="23">
        <v>0.75</v>
      </c>
      <c r="M537" s="5">
        <v>120012</v>
      </c>
      <c r="N537" s="5" t="s">
        <v>55</v>
      </c>
      <c r="O537" s="8" t="s">
        <v>56</v>
      </c>
      <c r="Q537" t="s">
        <v>64</v>
      </c>
      <c r="R537" s="5" t="s">
        <v>58</v>
      </c>
      <c r="S537" s="9">
        <v>10</v>
      </c>
      <c r="T537" s="9">
        <v>5</v>
      </c>
      <c r="U537" s="9">
        <v>5</v>
      </c>
      <c r="V537" s="10">
        <f>Table1[[#This Row],[MARGIN '[€']]]/Table1[[#This Row],[SALES '[€']]]</f>
        <v>0.5</v>
      </c>
      <c r="W537" s="5">
        <v>9215166871</v>
      </c>
      <c r="X537" s="5" t="s">
        <v>1179</v>
      </c>
      <c r="Y537" s="4">
        <v>82</v>
      </c>
      <c r="AA537" t="s">
        <v>89</v>
      </c>
      <c r="AL537" t="s">
        <v>61</v>
      </c>
    </row>
    <row r="538" spans="1:38" x14ac:dyDescent="0.25">
      <c r="A538" s="4">
        <v>34</v>
      </c>
      <c r="B538" t="s">
        <v>48</v>
      </c>
      <c r="C538" t="s">
        <v>49</v>
      </c>
      <c r="D538" s="5" t="s">
        <v>50</v>
      </c>
      <c r="E538" t="s">
        <v>51</v>
      </c>
      <c r="F538" s="6">
        <v>45162</v>
      </c>
      <c r="G538" s="7">
        <v>0.55555555555555602</v>
      </c>
      <c r="H538" t="s">
        <v>49</v>
      </c>
      <c r="I538" s="5">
        <v>94</v>
      </c>
      <c r="J538" t="s">
        <v>110</v>
      </c>
      <c r="K538" s="6">
        <v>45163</v>
      </c>
      <c r="L538" s="23">
        <v>0.375</v>
      </c>
      <c r="M538" s="5">
        <v>120038</v>
      </c>
      <c r="N538" s="5" t="s">
        <v>69</v>
      </c>
      <c r="O538" s="8" t="s">
        <v>56</v>
      </c>
      <c r="Q538" t="s">
        <v>1180</v>
      </c>
      <c r="R538" s="5" t="s">
        <v>835</v>
      </c>
      <c r="S538" s="9">
        <v>10</v>
      </c>
      <c r="T538" s="9">
        <v>5</v>
      </c>
      <c r="U538" s="9">
        <v>5</v>
      </c>
      <c r="V538" s="10">
        <f>Table1[[#This Row],[MARGIN '[€']]]/Table1[[#This Row],[SALES '[€']]]</f>
        <v>0.5</v>
      </c>
      <c r="W538" s="5">
        <v>9215166874</v>
      </c>
      <c r="X538" s="5" t="s">
        <v>1181</v>
      </c>
      <c r="Y538" s="4">
        <v>345</v>
      </c>
      <c r="AA538" t="s">
        <v>89</v>
      </c>
      <c r="AL538" t="s">
        <v>61</v>
      </c>
    </row>
    <row r="539" spans="1:38" x14ac:dyDescent="0.25">
      <c r="A539" s="4">
        <v>34</v>
      </c>
      <c r="B539" t="s">
        <v>48</v>
      </c>
      <c r="C539" t="s">
        <v>49</v>
      </c>
      <c r="D539" s="5" t="s">
        <v>50</v>
      </c>
      <c r="E539" t="s">
        <v>51</v>
      </c>
      <c r="F539" s="6">
        <v>45162</v>
      </c>
      <c r="G539" s="7">
        <v>0.875</v>
      </c>
      <c r="H539" t="s">
        <v>49</v>
      </c>
      <c r="I539" s="5">
        <v>94</v>
      </c>
      <c r="J539" t="s">
        <v>110</v>
      </c>
      <c r="K539" s="6">
        <v>45163</v>
      </c>
      <c r="L539" s="23">
        <v>0.41666666666666702</v>
      </c>
      <c r="M539" s="5">
        <v>120039</v>
      </c>
      <c r="N539" s="5" t="s">
        <v>69</v>
      </c>
      <c r="O539" s="8" t="s">
        <v>56</v>
      </c>
      <c r="Q539" t="s">
        <v>111</v>
      </c>
      <c r="R539" s="5" t="s">
        <v>112</v>
      </c>
      <c r="S539" s="9">
        <v>10</v>
      </c>
      <c r="T539" s="9">
        <v>5</v>
      </c>
      <c r="U539" s="9">
        <v>5</v>
      </c>
      <c r="V539" s="10">
        <f>Table1[[#This Row],[MARGIN '[€']]]/Table1[[#This Row],[SALES '[€']]]</f>
        <v>0.5</v>
      </c>
      <c r="W539" s="5">
        <v>9215166969</v>
      </c>
      <c r="X539" s="5" t="s">
        <v>1182</v>
      </c>
      <c r="Y539" s="4">
        <v>345</v>
      </c>
      <c r="AA539" t="s">
        <v>89</v>
      </c>
      <c r="AL539" t="s">
        <v>61</v>
      </c>
    </row>
    <row r="540" spans="1:38" x14ac:dyDescent="0.25">
      <c r="A540" s="4">
        <v>34</v>
      </c>
      <c r="B540" t="s">
        <v>48</v>
      </c>
      <c r="C540" t="s">
        <v>49</v>
      </c>
      <c r="D540" s="5" t="s">
        <v>50</v>
      </c>
      <c r="E540" t="s">
        <v>51</v>
      </c>
      <c r="F540" s="6">
        <v>45162</v>
      </c>
      <c r="G540" s="7">
        <v>0.45833333333333298</v>
      </c>
      <c r="H540" t="s">
        <v>49</v>
      </c>
      <c r="I540" s="5">
        <v>94</v>
      </c>
      <c r="J540" t="s">
        <v>110</v>
      </c>
      <c r="K540" s="6">
        <v>45163</v>
      </c>
      <c r="L540" s="23">
        <v>0.45833333333333298</v>
      </c>
      <c r="M540" s="5" t="s">
        <v>1183</v>
      </c>
      <c r="N540" s="5" t="s">
        <v>69</v>
      </c>
      <c r="O540" s="8" t="s">
        <v>56</v>
      </c>
      <c r="P540" t="s">
        <v>76</v>
      </c>
      <c r="Q540" t="s">
        <v>944</v>
      </c>
      <c r="R540" s="5" t="s">
        <v>266</v>
      </c>
      <c r="S540" s="9">
        <v>10</v>
      </c>
      <c r="T540" s="9">
        <v>5</v>
      </c>
      <c r="U540" s="9">
        <v>5</v>
      </c>
      <c r="V540" s="10">
        <f>Table1[[#This Row],[MARGIN '[€']]]/Table1[[#This Row],[SALES '[€']]]</f>
        <v>0.5</v>
      </c>
      <c r="W540" s="5" t="s">
        <v>1184</v>
      </c>
      <c r="X540" s="5" t="s">
        <v>1185</v>
      </c>
      <c r="Y540" s="4">
        <v>345</v>
      </c>
      <c r="Z540" t="s">
        <v>1186</v>
      </c>
      <c r="AA540" t="s">
        <v>89</v>
      </c>
      <c r="AL540" t="s">
        <v>61</v>
      </c>
    </row>
    <row r="541" spans="1:38" x14ac:dyDescent="0.25">
      <c r="A541" s="4">
        <v>34</v>
      </c>
      <c r="B541" t="s">
        <v>48</v>
      </c>
      <c r="C541" t="s">
        <v>49</v>
      </c>
      <c r="D541" s="5" t="s">
        <v>102</v>
      </c>
      <c r="E541" t="s">
        <v>103</v>
      </c>
      <c r="F541" s="6">
        <v>45162</v>
      </c>
      <c r="G541" s="7">
        <v>0.5</v>
      </c>
      <c r="H541" t="s">
        <v>49</v>
      </c>
      <c r="I541" s="5">
        <v>94</v>
      </c>
      <c r="J541" t="s">
        <v>110</v>
      </c>
      <c r="K541" s="6">
        <v>45163</v>
      </c>
      <c r="L541" s="23">
        <v>0.29166666666666702</v>
      </c>
      <c r="M541" s="5">
        <v>120041</v>
      </c>
      <c r="N541" s="5" t="s">
        <v>69</v>
      </c>
      <c r="O541" s="8" t="s">
        <v>56</v>
      </c>
      <c r="P541" t="s">
        <v>76</v>
      </c>
      <c r="Q541" t="s">
        <v>311</v>
      </c>
      <c r="R541" s="5" t="s">
        <v>312</v>
      </c>
      <c r="S541" s="9">
        <v>10</v>
      </c>
      <c r="T541" s="9">
        <v>5</v>
      </c>
      <c r="U541" s="9">
        <v>5</v>
      </c>
      <c r="V541" s="10">
        <f>Table1[[#This Row],[MARGIN '[€']]]/Table1[[#This Row],[SALES '[€']]]</f>
        <v>0.5</v>
      </c>
      <c r="W541" s="5" t="s">
        <v>1187</v>
      </c>
      <c r="X541" s="5" t="s">
        <v>1188</v>
      </c>
      <c r="Y541" s="4">
        <v>345</v>
      </c>
      <c r="AA541" t="s">
        <v>89</v>
      </c>
      <c r="AL541" t="s">
        <v>61</v>
      </c>
    </row>
    <row r="542" spans="1:38" x14ac:dyDescent="0.25">
      <c r="A542" s="4">
        <v>34</v>
      </c>
      <c r="B542" t="s">
        <v>48</v>
      </c>
      <c r="C542" t="s">
        <v>49</v>
      </c>
      <c r="D542" s="5" t="s">
        <v>50</v>
      </c>
      <c r="E542" t="s">
        <v>51</v>
      </c>
      <c r="F542" s="6">
        <v>45162</v>
      </c>
      <c r="G542" s="7">
        <v>0.9375</v>
      </c>
      <c r="H542" t="s">
        <v>90</v>
      </c>
      <c r="I542" s="5">
        <v>24</v>
      </c>
      <c r="J542" t="s">
        <v>92</v>
      </c>
      <c r="K542" s="6">
        <v>45163</v>
      </c>
      <c r="L542" s="23">
        <v>0.25</v>
      </c>
      <c r="M542" s="5">
        <v>120065</v>
      </c>
      <c r="N542" s="5" t="s">
        <v>69</v>
      </c>
      <c r="O542" s="8" t="s">
        <v>56</v>
      </c>
      <c r="Q542" t="s">
        <v>545</v>
      </c>
      <c r="R542" s="5" t="s">
        <v>94</v>
      </c>
      <c r="S542" s="9">
        <v>10</v>
      </c>
      <c r="T542" s="9">
        <v>5</v>
      </c>
      <c r="U542" s="9">
        <v>5</v>
      </c>
      <c r="V542" s="10">
        <f>Table1[[#This Row],[MARGIN '[€']]]/Table1[[#This Row],[SALES '[€']]]</f>
        <v>0.5</v>
      </c>
      <c r="W542" s="5">
        <v>9215166978</v>
      </c>
      <c r="X542" s="5" t="s">
        <v>1189</v>
      </c>
      <c r="Y542" s="4">
        <v>441</v>
      </c>
      <c r="Z542" t="s">
        <v>1190</v>
      </c>
      <c r="AA542" t="s">
        <v>89</v>
      </c>
      <c r="AL542" t="s">
        <v>61</v>
      </c>
    </row>
    <row r="543" spans="1:38" x14ac:dyDescent="0.25">
      <c r="A543" s="4">
        <v>34</v>
      </c>
      <c r="B543" t="s">
        <v>137</v>
      </c>
      <c r="C543" t="s">
        <v>49</v>
      </c>
      <c r="D543" s="5" t="s">
        <v>50</v>
      </c>
      <c r="E543" t="s">
        <v>51</v>
      </c>
      <c r="F543" s="6">
        <v>45162</v>
      </c>
      <c r="G543" s="7">
        <v>0.29166666666666702</v>
      </c>
      <c r="H543" t="s">
        <v>49</v>
      </c>
      <c r="I543" s="5" t="s">
        <v>102</v>
      </c>
      <c r="J543" t="s">
        <v>103</v>
      </c>
      <c r="K543" s="6">
        <v>45162</v>
      </c>
      <c r="L543" s="23">
        <v>0.375</v>
      </c>
      <c r="M543" s="5" t="s">
        <v>1191</v>
      </c>
      <c r="N543" s="5" t="s">
        <v>69</v>
      </c>
      <c r="O543" s="8" t="s">
        <v>56</v>
      </c>
      <c r="Q543" t="s">
        <v>614</v>
      </c>
      <c r="R543" s="5" t="s">
        <v>615</v>
      </c>
      <c r="S543" s="9">
        <v>10</v>
      </c>
      <c r="T543" s="9">
        <v>5</v>
      </c>
      <c r="U543" s="9">
        <v>5</v>
      </c>
      <c r="V543" s="10">
        <f>Table1[[#This Row],[MARGIN '[€']]]/Table1[[#This Row],[SALES '[€']]]</f>
        <v>0.5</v>
      </c>
      <c r="W543" s="5">
        <v>9215166973</v>
      </c>
      <c r="X543" s="5" t="s">
        <v>1192</v>
      </c>
      <c r="Y543" s="4">
        <v>57</v>
      </c>
      <c r="AA543" t="s">
        <v>89</v>
      </c>
      <c r="AL543" t="s">
        <v>61</v>
      </c>
    </row>
    <row r="544" spans="1:38" x14ac:dyDescent="0.25">
      <c r="A544" s="4">
        <v>34</v>
      </c>
      <c r="B544" t="s">
        <v>137</v>
      </c>
      <c r="C544" t="s">
        <v>49</v>
      </c>
      <c r="D544" s="5" t="s">
        <v>50</v>
      </c>
      <c r="E544" t="s">
        <v>51</v>
      </c>
      <c r="F544" s="6">
        <v>45162</v>
      </c>
      <c r="G544" s="7">
        <v>0.48611111111111099</v>
      </c>
      <c r="H544" t="s">
        <v>49</v>
      </c>
      <c r="I544" s="5" t="s">
        <v>102</v>
      </c>
      <c r="J544" t="s">
        <v>103</v>
      </c>
      <c r="K544" s="6">
        <v>45162</v>
      </c>
      <c r="L544" s="23">
        <v>0.54166666666666696</v>
      </c>
      <c r="M544" s="5" t="s">
        <v>1193</v>
      </c>
      <c r="N544" s="5" t="s">
        <v>69</v>
      </c>
      <c r="O544" s="8" t="s">
        <v>56</v>
      </c>
      <c r="Q544" t="s">
        <v>614</v>
      </c>
      <c r="R544" s="5" t="s">
        <v>615</v>
      </c>
      <c r="S544" s="9">
        <v>10</v>
      </c>
      <c r="T544" s="9">
        <v>5</v>
      </c>
      <c r="U544" s="9">
        <v>5</v>
      </c>
      <c r="V544" s="10">
        <f>Table1[[#This Row],[MARGIN '[€']]]/Table1[[#This Row],[SALES '[€']]]</f>
        <v>0.5</v>
      </c>
      <c r="W544" s="5">
        <v>9215166974</v>
      </c>
      <c r="X544" s="5" t="s">
        <v>1192</v>
      </c>
      <c r="Y544" s="4">
        <v>57</v>
      </c>
      <c r="AA544" t="s">
        <v>89</v>
      </c>
      <c r="AL544" t="s">
        <v>61</v>
      </c>
    </row>
    <row r="545" spans="1:38" x14ac:dyDescent="0.25">
      <c r="A545" s="4">
        <v>34</v>
      </c>
      <c r="B545" t="s">
        <v>137</v>
      </c>
      <c r="C545" t="s">
        <v>49</v>
      </c>
      <c r="D545" s="5" t="s">
        <v>50</v>
      </c>
      <c r="E545" t="s">
        <v>51</v>
      </c>
      <c r="F545" s="6">
        <v>45162</v>
      </c>
      <c r="G545" s="7">
        <v>0.625</v>
      </c>
      <c r="H545" t="s">
        <v>49</v>
      </c>
      <c r="I545" s="5" t="s">
        <v>102</v>
      </c>
      <c r="J545" t="s">
        <v>103</v>
      </c>
      <c r="K545" s="6">
        <v>45162</v>
      </c>
      <c r="L545" s="23">
        <v>0.70833333333333304</v>
      </c>
      <c r="M545" s="5" t="s">
        <v>1194</v>
      </c>
      <c r="N545" s="5" t="s">
        <v>69</v>
      </c>
      <c r="O545" s="8" t="s">
        <v>56</v>
      </c>
      <c r="Q545" t="s">
        <v>614</v>
      </c>
      <c r="R545" s="5" t="s">
        <v>615</v>
      </c>
      <c r="S545" s="9">
        <v>10</v>
      </c>
      <c r="T545" s="9">
        <v>5</v>
      </c>
      <c r="U545" s="9">
        <v>5</v>
      </c>
      <c r="V545" s="10">
        <f>Table1[[#This Row],[MARGIN '[€']]]/Table1[[#This Row],[SALES '[€']]]</f>
        <v>0.5</v>
      </c>
      <c r="W545" s="5">
        <v>9215166975</v>
      </c>
      <c r="X545" s="5" t="s">
        <v>1192</v>
      </c>
      <c r="Y545" s="4">
        <v>57</v>
      </c>
      <c r="AA545" t="s">
        <v>89</v>
      </c>
      <c r="AL545" t="s">
        <v>61</v>
      </c>
    </row>
    <row r="546" spans="1:38" x14ac:dyDescent="0.25">
      <c r="A546" s="4">
        <v>34</v>
      </c>
      <c r="B546" t="s">
        <v>48</v>
      </c>
      <c r="C546" t="s">
        <v>49</v>
      </c>
      <c r="D546" s="5" t="s">
        <v>50</v>
      </c>
      <c r="E546" t="s">
        <v>51</v>
      </c>
      <c r="F546" s="6">
        <v>45162</v>
      </c>
      <c r="G546" s="7">
        <v>0.95833333333333304</v>
      </c>
      <c r="H546" t="s">
        <v>90</v>
      </c>
      <c r="I546" s="5">
        <v>24</v>
      </c>
      <c r="J546" t="s">
        <v>92</v>
      </c>
      <c r="K546" s="6">
        <v>45163</v>
      </c>
      <c r="L546" s="23">
        <v>0.66666666666666696</v>
      </c>
      <c r="M546" s="5">
        <v>120181</v>
      </c>
      <c r="N546" s="5" t="s">
        <v>69</v>
      </c>
      <c r="O546" s="8" t="s">
        <v>56</v>
      </c>
      <c r="Q546" t="s">
        <v>323</v>
      </c>
      <c r="R546" s="5" t="s">
        <v>98</v>
      </c>
      <c r="S546" s="9">
        <v>10</v>
      </c>
      <c r="T546" s="9">
        <v>5</v>
      </c>
      <c r="U546" s="9">
        <v>5</v>
      </c>
      <c r="V546" s="10">
        <f>Table1[[#This Row],[MARGIN '[€']]]/Table1[[#This Row],[SALES '[€']]]</f>
        <v>0.5</v>
      </c>
      <c r="W546" s="5">
        <v>9215166982</v>
      </c>
      <c r="X546" s="5" t="s">
        <v>1195</v>
      </c>
      <c r="Y546" s="4">
        <v>441</v>
      </c>
      <c r="Z546" t="s">
        <v>1196</v>
      </c>
      <c r="AA546" t="s">
        <v>73</v>
      </c>
      <c r="AL546" t="s">
        <v>61</v>
      </c>
    </row>
    <row r="547" spans="1:38" x14ac:dyDescent="0.25">
      <c r="A547" s="4">
        <v>34</v>
      </c>
      <c r="B547" t="s">
        <v>48</v>
      </c>
      <c r="C547" t="s">
        <v>49</v>
      </c>
      <c r="D547" s="5" t="s">
        <v>50</v>
      </c>
      <c r="E547" t="s">
        <v>51</v>
      </c>
      <c r="F547" s="6">
        <v>45162</v>
      </c>
      <c r="G547" s="7">
        <v>0.66666666666666696</v>
      </c>
      <c r="H547" t="s">
        <v>90</v>
      </c>
      <c r="I547" s="5">
        <v>24</v>
      </c>
      <c r="J547" t="s">
        <v>92</v>
      </c>
      <c r="K547" s="6">
        <v>45163</v>
      </c>
      <c r="L547" s="23">
        <v>0.49652777777777801</v>
      </c>
      <c r="M547" s="5">
        <v>120182</v>
      </c>
      <c r="N547" s="5" t="s">
        <v>69</v>
      </c>
      <c r="O547" s="8" t="s">
        <v>56</v>
      </c>
      <c r="Q547" t="s">
        <v>1197</v>
      </c>
      <c r="R547" s="5" t="s">
        <v>1198</v>
      </c>
      <c r="S547" s="9">
        <v>10</v>
      </c>
      <c r="T547" s="9">
        <v>5</v>
      </c>
      <c r="U547" s="9">
        <v>5</v>
      </c>
      <c r="V547" s="10">
        <f>Table1[[#This Row],[MARGIN '[€']]]/Table1[[#This Row],[SALES '[€']]]</f>
        <v>0.5</v>
      </c>
      <c r="W547" s="5">
        <v>9215166983</v>
      </c>
      <c r="X547" s="5" t="s">
        <v>1199</v>
      </c>
      <c r="Y547" s="4">
        <v>441</v>
      </c>
      <c r="Z547" t="s">
        <v>1200</v>
      </c>
      <c r="AA547" t="s">
        <v>89</v>
      </c>
      <c r="AL547" t="s">
        <v>61</v>
      </c>
    </row>
    <row r="548" spans="1:38" x14ac:dyDescent="0.25">
      <c r="A548" s="4">
        <v>34</v>
      </c>
      <c r="B548" t="s">
        <v>137</v>
      </c>
      <c r="C548" t="s">
        <v>49</v>
      </c>
      <c r="D548" s="5" t="s">
        <v>50</v>
      </c>
      <c r="E548" t="s">
        <v>51</v>
      </c>
      <c r="F548" s="6">
        <v>45162</v>
      </c>
      <c r="G548" s="7">
        <v>0.375</v>
      </c>
      <c r="H548" t="s">
        <v>49</v>
      </c>
      <c r="I548" s="5" t="s">
        <v>102</v>
      </c>
      <c r="J548" t="s">
        <v>103</v>
      </c>
      <c r="K548" s="6">
        <v>45162</v>
      </c>
      <c r="L548" s="23">
        <v>0.45833333333333298</v>
      </c>
      <c r="M548" s="5" t="s">
        <v>1201</v>
      </c>
      <c r="N548" s="5" t="s">
        <v>69</v>
      </c>
      <c r="O548" s="8" t="s">
        <v>56</v>
      </c>
      <c r="Q548" t="s">
        <v>311</v>
      </c>
      <c r="R548" s="5" t="s">
        <v>312</v>
      </c>
      <c r="S548" s="9">
        <v>10</v>
      </c>
      <c r="T548" s="9">
        <v>5</v>
      </c>
      <c r="U548" s="9">
        <v>5</v>
      </c>
      <c r="V548" s="10">
        <f>Table1[[#This Row],[MARGIN '[€']]]/Table1[[#This Row],[SALES '[€']]]</f>
        <v>0.5</v>
      </c>
      <c r="W548" s="5">
        <v>9215166976</v>
      </c>
      <c r="X548" s="5" t="s">
        <v>1202</v>
      </c>
      <c r="Y548" s="4">
        <v>57</v>
      </c>
      <c r="AA548" t="s">
        <v>89</v>
      </c>
      <c r="AL548" t="s">
        <v>61</v>
      </c>
    </row>
    <row r="549" spans="1:38" x14ac:dyDescent="0.25">
      <c r="A549" s="4">
        <v>34</v>
      </c>
      <c r="B549" t="s">
        <v>797</v>
      </c>
      <c r="C549" t="s">
        <v>153</v>
      </c>
      <c r="D549" s="5" t="s">
        <v>798</v>
      </c>
      <c r="E549" t="s">
        <v>799</v>
      </c>
      <c r="F549" s="6">
        <v>45163</v>
      </c>
      <c r="G549" s="7">
        <v>0.54166666666666696</v>
      </c>
      <c r="H549" t="s">
        <v>49</v>
      </c>
      <c r="I549" s="5" t="s">
        <v>156</v>
      </c>
      <c r="J549" t="s">
        <v>285</v>
      </c>
      <c r="K549" s="6">
        <v>45168</v>
      </c>
      <c r="L549" s="23">
        <v>0.5</v>
      </c>
      <c r="M549" s="5" t="s">
        <v>1203</v>
      </c>
      <c r="N549" s="5" t="s">
        <v>142</v>
      </c>
      <c r="O549" s="8" t="s">
        <v>159</v>
      </c>
      <c r="P549">
        <v>1500</v>
      </c>
      <c r="Q549" t="s">
        <v>646</v>
      </c>
      <c r="R549" s="5" t="s">
        <v>161</v>
      </c>
      <c r="S549" s="9">
        <v>10</v>
      </c>
      <c r="T549" s="9">
        <v>5</v>
      </c>
      <c r="U549" s="9">
        <v>5</v>
      </c>
      <c r="V549" s="10">
        <f>Table1[[#This Row],[MARGIN '[€']]]/Table1[[#This Row],[SALES '[€']]]</f>
        <v>0.5</v>
      </c>
      <c r="W549" s="5">
        <v>9215166955</v>
      </c>
      <c r="X549" s="5" t="s">
        <v>1204</v>
      </c>
      <c r="Y549" s="4">
        <v>1820</v>
      </c>
      <c r="AA549" t="s">
        <v>73</v>
      </c>
      <c r="AD549">
        <v>14</v>
      </c>
      <c r="AE549" s="3">
        <v>3</v>
      </c>
      <c r="AL549" t="s">
        <v>61</v>
      </c>
    </row>
    <row r="550" spans="1:38" x14ac:dyDescent="0.25">
      <c r="A550" s="4">
        <v>34</v>
      </c>
      <c r="B550" t="s">
        <v>333</v>
      </c>
      <c r="C550" t="s">
        <v>49</v>
      </c>
      <c r="D550" s="5" t="s">
        <v>334</v>
      </c>
      <c r="E550" t="s">
        <v>335</v>
      </c>
      <c r="F550" s="6">
        <v>45163</v>
      </c>
      <c r="G550" s="7">
        <v>0.79166666666666696</v>
      </c>
      <c r="H550" t="s">
        <v>138</v>
      </c>
      <c r="I550" s="5">
        <v>69</v>
      </c>
      <c r="J550" t="s">
        <v>671</v>
      </c>
      <c r="K550" s="6">
        <v>45167</v>
      </c>
      <c r="L550" s="23">
        <v>0.45833333333333298</v>
      </c>
      <c r="M550" s="5">
        <v>1002949254</v>
      </c>
      <c r="N550" s="5" t="s">
        <v>337</v>
      </c>
      <c r="O550" s="8" t="s">
        <v>338</v>
      </c>
      <c r="P550" t="s">
        <v>867</v>
      </c>
      <c r="Q550" t="s">
        <v>1205</v>
      </c>
      <c r="R550" s="5" t="s">
        <v>513</v>
      </c>
      <c r="S550" s="9">
        <v>10</v>
      </c>
      <c r="T550" s="9">
        <v>5</v>
      </c>
      <c r="U550" s="9">
        <v>5</v>
      </c>
      <c r="V550" s="10">
        <f>Table1[[#This Row],[MARGIN '[€']]]/Table1[[#This Row],[SALES '[€']]]</f>
        <v>0.5</v>
      </c>
      <c r="W550" s="5">
        <v>9215166723</v>
      </c>
      <c r="X550" s="5" t="s">
        <v>1206</v>
      </c>
      <c r="Y550" s="4">
        <v>1650</v>
      </c>
      <c r="AA550" t="s">
        <v>342</v>
      </c>
      <c r="AL550" t="s">
        <v>61</v>
      </c>
    </row>
    <row r="551" spans="1:38" x14ac:dyDescent="0.25">
      <c r="A551" s="4">
        <v>34</v>
      </c>
      <c r="B551" t="s">
        <v>333</v>
      </c>
      <c r="C551" t="s">
        <v>166</v>
      </c>
      <c r="D551" s="5" t="s">
        <v>334</v>
      </c>
      <c r="E551" t="s">
        <v>335</v>
      </c>
      <c r="F551" s="6">
        <v>45163</v>
      </c>
      <c r="G551" s="7">
        <v>0.58333333333333304</v>
      </c>
      <c r="H551" t="s">
        <v>1107</v>
      </c>
      <c r="I551" s="5">
        <v>47</v>
      </c>
      <c r="J551" t="s">
        <v>1108</v>
      </c>
      <c r="K551" s="6">
        <v>45167</v>
      </c>
      <c r="L551" s="23">
        <v>0.5</v>
      </c>
      <c r="M551" s="5">
        <v>1002953294</v>
      </c>
      <c r="N551" s="5" t="s">
        <v>337</v>
      </c>
      <c r="O551" s="8" t="s">
        <v>387</v>
      </c>
      <c r="P551" t="s">
        <v>1207</v>
      </c>
      <c r="Q551" t="s">
        <v>1208</v>
      </c>
      <c r="R551" s="5" t="s">
        <v>1110</v>
      </c>
      <c r="S551" s="9">
        <v>10</v>
      </c>
      <c r="T551" s="9">
        <v>5</v>
      </c>
      <c r="U551" s="9">
        <v>5</v>
      </c>
      <c r="V551" s="10">
        <f>Table1[[#This Row],[MARGIN '[€']]]/Table1[[#This Row],[SALES '[€']]]</f>
        <v>0.5</v>
      </c>
      <c r="W551" s="5">
        <v>9215166948</v>
      </c>
      <c r="X551" s="5" t="s">
        <v>1209</v>
      </c>
      <c r="Y551" s="4">
        <v>791</v>
      </c>
      <c r="Z551" t="s">
        <v>1210</v>
      </c>
      <c r="AA551" t="s">
        <v>342</v>
      </c>
      <c r="AL551" t="s">
        <v>61</v>
      </c>
    </row>
    <row r="552" spans="1:38" x14ac:dyDescent="0.25">
      <c r="A552" s="4">
        <v>34</v>
      </c>
      <c r="B552" t="s">
        <v>333</v>
      </c>
      <c r="C552" t="s">
        <v>49</v>
      </c>
      <c r="D552" s="5" t="s">
        <v>334</v>
      </c>
      <c r="E552" t="s">
        <v>335</v>
      </c>
      <c r="F552" s="6">
        <v>45163</v>
      </c>
      <c r="G552" s="7">
        <v>0.79166666666666696</v>
      </c>
      <c r="H552" t="s">
        <v>138</v>
      </c>
      <c r="I552" s="5">
        <v>38</v>
      </c>
      <c r="J552" t="s">
        <v>665</v>
      </c>
      <c r="K552" s="6">
        <v>45168</v>
      </c>
      <c r="L552" s="23">
        <v>0.27083333333333298</v>
      </c>
      <c r="M552" s="5">
        <v>1002944985</v>
      </c>
      <c r="N552" s="5" t="s">
        <v>337</v>
      </c>
      <c r="O552" s="8" t="s">
        <v>338</v>
      </c>
      <c r="Q552" t="s">
        <v>1211</v>
      </c>
      <c r="R552" s="5" t="s">
        <v>578</v>
      </c>
      <c r="S552" s="9">
        <v>10</v>
      </c>
      <c r="T552" s="9">
        <v>5</v>
      </c>
      <c r="U552" s="9">
        <v>5</v>
      </c>
      <c r="V552" s="10">
        <f>Table1[[#This Row],[MARGIN '[€']]]/Table1[[#This Row],[SALES '[€']]]</f>
        <v>0.5</v>
      </c>
      <c r="W552" s="5">
        <v>9215166847</v>
      </c>
      <c r="X552" s="5" t="s">
        <v>1212</v>
      </c>
      <c r="Y552" s="4">
        <v>1629</v>
      </c>
      <c r="AA552" t="s">
        <v>342</v>
      </c>
      <c r="AL552" t="s">
        <v>61</v>
      </c>
    </row>
    <row r="553" spans="1:38" x14ac:dyDescent="0.25">
      <c r="A553" s="4">
        <v>34</v>
      </c>
      <c r="B553" t="s">
        <v>333</v>
      </c>
      <c r="C553" t="s">
        <v>49</v>
      </c>
      <c r="D553" s="5" t="s">
        <v>334</v>
      </c>
      <c r="E553" t="s">
        <v>335</v>
      </c>
      <c r="F553" s="6">
        <v>45163</v>
      </c>
      <c r="G553" s="7">
        <v>0.70833333333333304</v>
      </c>
      <c r="H553" t="s">
        <v>138</v>
      </c>
      <c r="I553" s="5">
        <v>19</v>
      </c>
      <c r="J553" t="s">
        <v>589</v>
      </c>
      <c r="K553" s="6">
        <v>45169</v>
      </c>
      <c r="L553" s="23">
        <v>0.8125</v>
      </c>
      <c r="M553" s="5">
        <v>1002929131</v>
      </c>
      <c r="N553" s="5" t="s">
        <v>337</v>
      </c>
      <c r="O553" s="8" t="s">
        <v>338</v>
      </c>
      <c r="Q553" t="s">
        <v>1213</v>
      </c>
      <c r="R553" s="5" t="s">
        <v>738</v>
      </c>
      <c r="S553" s="9">
        <v>10</v>
      </c>
      <c r="T553" s="9">
        <v>5</v>
      </c>
      <c r="U553" s="9">
        <v>5</v>
      </c>
      <c r="V553" s="10">
        <f>Table1[[#This Row],[MARGIN '[€']]]/Table1[[#This Row],[SALES '[€']]]</f>
        <v>0.5</v>
      </c>
      <c r="W553" s="5">
        <v>9215166850</v>
      </c>
      <c r="X553" s="5" t="s">
        <v>1214</v>
      </c>
      <c r="Y553" s="4">
        <v>1890</v>
      </c>
      <c r="AA553" t="s">
        <v>342</v>
      </c>
      <c r="AL553" t="s">
        <v>61</v>
      </c>
    </row>
    <row r="554" spans="1:38" x14ac:dyDescent="0.25">
      <c r="A554" s="4">
        <v>34</v>
      </c>
      <c r="B554" t="s">
        <v>333</v>
      </c>
      <c r="C554" t="s">
        <v>49</v>
      </c>
      <c r="D554" s="5" t="s">
        <v>334</v>
      </c>
      <c r="E554" t="s">
        <v>335</v>
      </c>
      <c r="F554" s="6">
        <v>45163</v>
      </c>
      <c r="H554" t="s">
        <v>1215</v>
      </c>
      <c r="I554" s="5">
        <v>19</v>
      </c>
      <c r="J554" t="s">
        <v>1216</v>
      </c>
      <c r="K554" s="6">
        <v>45168</v>
      </c>
      <c r="L554" s="23" t="s">
        <v>568</v>
      </c>
      <c r="M554" s="5">
        <v>1002956606</v>
      </c>
      <c r="N554" s="5" t="s">
        <v>337</v>
      </c>
      <c r="O554" s="8" t="s">
        <v>387</v>
      </c>
      <c r="R554" s="5" t="s">
        <v>1217</v>
      </c>
      <c r="S554" s="9">
        <v>10</v>
      </c>
      <c r="T554" s="9">
        <v>5</v>
      </c>
      <c r="U554" s="9">
        <v>5</v>
      </c>
      <c r="V554" s="10">
        <f>Table1[[#This Row],[MARGIN '[€']]]/Table1[[#This Row],[SALES '[€']]]</f>
        <v>0.5</v>
      </c>
      <c r="Y554" s="4">
        <v>2813</v>
      </c>
      <c r="Z554" t="s">
        <v>1218</v>
      </c>
      <c r="AL554" t="s">
        <v>1219</v>
      </c>
    </row>
    <row r="555" spans="1:38" x14ac:dyDescent="0.25">
      <c r="A555" s="4">
        <v>34</v>
      </c>
      <c r="B555" t="s">
        <v>1220</v>
      </c>
      <c r="C555" t="s">
        <v>66</v>
      </c>
      <c r="D555" s="5" t="s">
        <v>1221</v>
      </c>
      <c r="E555" t="s">
        <v>1222</v>
      </c>
      <c r="F555" s="6">
        <v>45163</v>
      </c>
      <c r="G555" s="7">
        <v>0.25</v>
      </c>
      <c r="H555" t="s">
        <v>49</v>
      </c>
      <c r="I555" s="5" t="s">
        <v>1223</v>
      </c>
      <c r="J555" t="s">
        <v>1224</v>
      </c>
      <c r="K555" s="6">
        <v>45167</v>
      </c>
      <c r="L555" s="3">
        <v>0.66666666666666696</v>
      </c>
      <c r="M555" s="5">
        <v>1002944732</v>
      </c>
      <c r="N555" s="5" t="s">
        <v>337</v>
      </c>
      <c r="O555" s="8" t="s">
        <v>338</v>
      </c>
      <c r="Q555" t="s">
        <v>1225</v>
      </c>
      <c r="R555" s="5" t="s">
        <v>1226</v>
      </c>
      <c r="S555" s="9">
        <v>10</v>
      </c>
      <c r="T555" s="9">
        <v>5</v>
      </c>
      <c r="U555" s="9">
        <v>5</v>
      </c>
      <c r="V555" s="10">
        <f>Table1[[#This Row],[MARGIN '[€']]]/Table1[[#This Row],[SALES '[€']]]</f>
        <v>0.5</v>
      </c>
      <c r="W555" s="5">
        <v>9215166565</v>
      </c>
      <c r="X555" s="5" t="s">
        <v>1227</v>
      </c>
      <c r="Y555" s="4">
        <v>470</v>
      </c>
      <c r="AA555" t="s">
        <v>342</v>
      </c>
      <c r="AL555" t="s">
        <v>61</v>
      </c>
    </row>
    <row r="556" spans="1:38" x14ac:dyDescent="0.25">
      <c r="A556" s="4">
        <v>34</v>
      </c>
      <c r="B556" t="s">
        <v>48</v>
      </c>
      <c r="C556" t="s">
        <v>49</v>
      </c>
      <c r="D556" s="5" t="s">
        <v>50</v>
      </c>
      <c r="E556" t="s">
        <v>51</v>
      </c>
      <c r="F556" s="6">
        <v>45163</v>
      </c>
      <c r="G556" s="7">
        <v>0.16666666666666699</v>
      </c>
      <c r="H556" t="s">
        <v>66</v>
      </c>
      <c r="I556" s="5">
        <v>32</v>
      </c>
      <c r="J556" t="s">
        <v>68</v>
      </c>
      <c r="K556" s="6">
        <v>45163</v>
      </c>
      <c r="L556" s="23">
        <v>0.41666666666666702</v>
      </c>
      <c r="M556" s="5">
        <v>119921</v>
      </c>
      <c r="N556" s="5" t="s">
        <v>69</v>
      </c>
      <c r="O556" s="8" t="s">
        <v>56</v>
      </c>
      <c r="Q556" t="s">
        <v>1228</v>
      </c>
      <c r="R556" s="5" t="s">
        <v>177</v>
      </c>
      <c r="S556" s="9">
        <v>10</v>
      </c>
      <c r="T556" s="9">
        <v>5</v>
      </c>
      <c r="U556" s="9">
        <v>5</v>
      </c>
      <c r="V556" s="10">
        <f>Table1[[#This Row],[MARGIN '[€']]]/Table1[[#This Row],[SALES '[€']]]</f>
        <v>0.5</v>
      </c>
      <c r="W556" s="5">
        <v>9215167042</v>
      </c>
      <c r="X556" s="5" t="s">
        <v>1229</v>
      </c>
      <c r="Y556" s="4">
        <v>316</v>
      </c>
      <c r="Z556" t="s">
        <v>1230</v>
      </c>
      <c r="AA556" t="s">
        <v>73</v>
      </c>
      <c r="AL556" t="s">
        <v>61</v>
      </c>
    </row>
    <row r="557" spans="1:38" x14ac:dyDescent="0.25">
      <c r="A557" s="4">
        <v>34</v>
      </c>
      <c r="B557" t="s">
        <v>48</v>
      </c>
      <c r="C557" t="s">
        <v>49</v>
      </c>
      <c r="D557" s="5" t="s">
        <v>50</v>
      </c>
      <c r="E557" t="s">
        <v>51</v>
      </c>
      <c r="F557" s="6">
        <v>45163</v>
      </c>
      <c r="G557" s="7">
        <v>0.375</v>
      </c>
      <c r="H557" t="s">
        <v>66</v>
      </c>
      <c r="I557" s="5">
        <v>32</v>
      </c>
      <c r="J557" t="s">
        <v>68</v>
      </c>
      <c r="K557" s="6">
        <v>45163</v>
      </c>
      <c r="L557" s="23">
        <v>0.66666666666666696</v>
      </c>
      <c r="M557" s="5">
        <v>119924</v>
      </c>
      <c r="N557" s="5" t="s">
        <v>69</v>
      </c>
      <c r="O557" s="8" t="s">
        <v>56</v>
      </c>
      <c r="Q557" t="s">
        <v>1175</v>
      </c>
      <c r="R557" s="5" t="s">
        <v>71</v>
      </c>
      <c r="S557" s="9">
        <v>10</v>
      </c>
      <c r="T557" s="9">
        <v>5</v>
      </c>
      <c r="U557" s="9">
        <v>5</v>
      </c>
      <c r="V557" s="10">
        <f>Table1[[#This Row],[MARGIN '[€']]]/Table1[[#This Row],[SALES '[€']]]</f>
        <v>0.5</v>
      </c>
      <c r="W557" s="5">
        <v>9215167001</v>
      </c>
      <c r="X557" s="5" t="s">
        <v>1231</v>
      </c>
      <c r="Y557" s="4">
        <v>316</v>
      </c>
      <c r="AA557" t="s">
        <v>73</v>
      </c>
      <c r="AL557" t="s">
        <v>61</v>
      </c>
    </row>
    <row r="558" spans="1:38" x14ac:dyDescent="0.25">
      <c r="A558" s="4">
        <v>34</v>
      </c>
      <c r="B558" t="s">
        <v>48</v>
      </c>
      <c r="C558" t="s">
        <v>49</v>
      </c>
      <c r="D558" s="5" t="s">
        <v>50</v>
      </c>
      <c r="E558" t="s">
        <v>51</v>
      </c>
      <c r="F558" s="6">
        <v>45163</v>
      </c>
      <c r="G558" s="7">
        <v>0.43055555555555602</v>
      </c>
      <c r="H558" t="s">
        <v>66</v>
      </c>
      <c r="I558" s="5">
        <v>32</v>
      </c>
      <c r="J558" t="s">
        <v>68</v>
      </c>
      <c r="K558" s="6">
        <v>45163</v>
      </c>
      <c r="L558" s="23">
        <v>0.75</v>
      </c>
      <c r="M558" s="5">
        <v>119925</v>
      </c>
      <c r="N558" s="5" t="s">
        <v>69</v>
      </c>
      <c r="O558" s="8" t="s">
        <v>56</v>
      </c>
      <c r="Q558" t="s">
        <v>891</v>
      </c>
      <c r="R558" s="5" t="s">
        <v>71</v>
      </c>
      <c r="S558" s="9">
        <v>10</v>
      </c>
      <c r="T558" s="9">
        <v>5</v>
      </c>
      <c r="U558" s="9">
        <v>5</v>
      </c>
      <c r="V558" s="10">
        <f>Table1[[#This Row],[MARGIN '[€']]]/Table1[[#This Row],[SALES '[€']]]</f>
        <v>0.5</v>
      </c>
      <c r="W558" s="5">
        <v>9215167002</v>
      </c>
      <c r="X558" s="5" t="s">
        <v>1232</v>
      </c>
      <c r="Y558" s="4">
        <v>316</v>
      </c>
      <c r="AA558" t="s">
        <v>73</v>
      </c>
      <c r="AL558" t="s">
        <v>61</v>
      </c>
    </row>
    <row r="559" spans="1:38" x14ac:dyDescent="0.25">
      <c r="A559" s="4">
        <v>34</v>
      </c>
      <c r="B559" t="s">
        <v>48</v>
      </c>
      <c r="C559" t="s">
        <v>49</v>
      </c>
      <c r="D559" s="5" t="s">
        <v>50</v>
      </c>
      <c r="E559" t="s">
        <v>51</v>
      </c>
      <c r="F559" s="6">
        <v>45163</v>
      </c>
      <c r="G559" s="7">
        <v>0.52083333333333304</v>
      </c>
      <c r="H559" t="s">
        <v>66</v>
      </c>
      <c r="I559" s="5">
        <v>32</v>
      </c>
      <c r="J559" t="s">
        <v>68</v>
      </c>
      <c r="K559" s="6">
        <v>45166</v>
      </c>
      <c r="L559" s="23">
        <v>0.91666666666666696</v>
      </c>
      <c r="M559" s="5">
        <v>119926</v>
      </c>
      <c r="N559" s="5" t="s">
        <v>69</v>
      </c>
      <c r="O559" s="8" t="s">
        <v>56</v>
      </c>
      <c r="Q559" t="s">
        <v>1233</v>
      </c>
      <c r="R559" s="5" t="s">
        <v>177</v>
      </c>
      <c r="S559" s="9">
        <v>10</v>
      </c>
      <c r="T559" s="9">
        <v>5</v>
      </c>
      <c r="U559" s="9">
        <v>5</v>
      </c>
      <c r="V559" s="10">
        <f>Table1[[#This Row],[MARGIN '[€']]]/Table1[[#This Row],[SALES '[€']]]</f>
        <v>0.5</v>
      </c>
      <c r="W559" s="5">
        <v>9215167014</v>
      </c>
      <c r="X559" s="5" t="s">
        <v>1234</v>
      </c>
      <c r="Y559" s="4">
        <v>316</v>
      </c>
      <c r="AA559" t="s">
        <v>73</v>
      </c>
      <c r="AL559" t="s">
        <v>61</v>
      </c>
    </row>
    <row r="560" spans="1:38" x14ac:dyDescent="0.25">
      <c r="A560" s="4">
        <v>34</v>
      </c>
      <c r="B560" t="s">
        <v>48</v>
      </c>
      <c r="C560" t="s">
        <v>49</v>
      </c>
      <c r="D560" s="5" t="s">
        <v>50</v>
      </c>
      <c r="E560" t="s">
        <v>51</v>
      </c>
      <c r="F560" s="6">
        <v>45163</v>
      </c>
      <c r="G560" s="7">
        <v>4.1666666666666699E-2</v>
      </c>
      <c r="H560" t="s">
        <v>52</v>
      </c>
      <c r="I560" s="5">
        <v>23</v>
      </c>
      <c r="J560" t="s">
        <v>85</v>
      </c>
      <c r="K560" s="6">
        <v>45163</v>
      </c>
      <c r="L560" s="23">
        <v>0.33333333333333298</v>
      </c>
      <c r="M560" s="5">
        <v>119958</v>
      </c>
      <c r="N560" s="5" t="s">
        <v>69</v>
      </c>
      <c r="O560" s="8" t="s">
        <v>56</v>
      </c>
      <c r="Q560" t="s">
        <v>316</v>
      </c>
      <c r="R560" s="5" t="s">
        <v>317</v>
      </c>
      <c r="S560" s="9">
        <v>10</v>
      </c>
      <c r="T560" s="9">
        <v>5</v>
      </c>
      <c r="U560" s="9">
        <v>5</v>
      </c>
      <c r="V560" s="10">
        <f>Table1[[#This Row],[MARGIN '[€']]]/Table1[[#This Row],[SALES '[€']]]</f>
        <v>0.5</v>
      </c>
      <c r="W560" s="5">
        <v>9215166963</v>
      </c>
      <c r="X560" s="5" t="s">
        <v>1235</v>
      </c>
      <c r="Y560" s="4">
        <v>261</v>
      </c>
      <c r="AA560" t="s">
        <v>89</v>
      </c>
      <c r="AL560" t="s">
        <v>61</v>
      </c>
    </row>
    <row r="561" spans="1:38" x14ac:dyDescent="0.25">
      <c r="A561" s="4">
        <v>34</v>
      </c>
      <c r="B561" t="s">
        <v>48</v>
      </c>
      <c r="C561" t="s">
        <v>49</v>
      </c>
      <c r="D561" s="5" t="s">
        <v>50</v>
      </c>
      <c r="E561" t="s">
        <v>51</v>
      </c>
      <c r="F561" s="6">
        <v>45163</v>
      </c>
      <c r="G561" s="7">
        <v>0.31944444444444398</v>
      </c>
      <c r="H561" t="s">
        <v>52</v>
      </c>
      <c r="I561" s="5">
        <v>23</v>
      </c>
      <c r="J561" t="s">
        <v>85</v>
      </c>
      <c r="K561" s="6">
        <v>45163</v>
      </c>
      <c r="L561" s="23">
        <v>0.5</v>
      </c>
      <c r="M561" s="5">
        <v>119960</v>
      </c>
      <c r="N561" s="5" t="s">
        <v>69</v>
      </c>
      <c r="O561" s="8" t="s">
        <v>56</v>
      </c>
      <c r="Q561" t="s">
        <v>614</v>
      </c>
      <c r="R561" s="5" t="s">
        <v>615</v>
      </c>
      <c r="S561" s="9">
        <v>10</v>
      </c>
      <c r="T561" s="9">
        <v>5</v>
      </c>
      <c r="U561" s="9">
        <v>5</v>
      </c>
      <c r="V561" s="10">
        <f>Table1[[#This Row],[MARGIN '[€']]]/Table1[[#This Row],[SALES '[€']]]</f>
        <v>0.5</v>
      </c>
      <c r="W561" s="5">
        <v>9215166852</v>
      </c>
      <c r="X561" s="5" t="s">
        <v>1236</v>
      </c>
      <c r="Y561" s="4">
        <v>261</v>
      </c>
      <c r="AA561" t="s">
        <v>89</v>
      </c>
      <c r="AL561" t="s">
        <v>61</v>
      </c>
    </row>
    <row r="562" spans="1:38" x14ac:dyDescent="0.25">
      <c r="A562" s="4">
        <v>34</v>
      </c>
      <c r="B562" t="s">
        <v>48</v>
      </c>
      <c r="C562" t="s">
        <v>49</v>
      </c>
      <c r="D562" s="5" t="s">
        <v>50</v>
      </c>
      <c r="E562" t="s">
        <v>51</v>
      </c>
      <c r="F562" s="6">
        <v>45163</v>
      </c>
      <c r="G562" s="7">
        <v>0.29166666666666702</v>
      </c>
      <c r="H562" t="s">
        <v>52</v>
      </c>
      <c r="I562" s="5">
        <v>23</v>
      </c>
      <c r="J562" t="s">
        <v>85</v>
      </c>
      <c r="K562" s="6">
        <v>45163</v>
      </c>
      <c r="L562" s="23">
        <v>0.58333333333333304</v>
      </c>
      <c r="M562" s="5">
        <v>119961</v>
      </c>
      <c r="N562" s="5" t="s">
        <v>69</v>
      </c>
      <c r="O562" s="8" t="s">
        <v>56</v>
      </c>
      <c r="Q562" t="s">
        <v>992</v>
      </c>
      <c r="R562" s="5" t="s">
        <v>58</v>
      </c>
      <c r="S562" s="9">
        <v>10</v>
      </c>
      <c r="T562" s="9">
        <v>5</v>
      </c>
      <c r="U562" s="9">
        <v>5</v>
      </c>
      <c r="V562" s="10">
        <f>Table1[[#This Row],[MARGIN '[€']]]/Table1[[#This Row],[SALES '[€']]]</f>
        <v>0.5</v>
      </c>
      <c r="W562" s="5">
        <v>9215166791</v>
      </c>
      <c r="X562" s="5" t="s">
        <v>1237</v>
      </c>
      <c r="Y562" s="4">
        <v>261</v>
      </c>
      <c r="AA562" t="s">
        <v>89</v>
      </c>
      <c r="AL562" t="s">
        <v>61</v>
      </c>
    </row>
    <row r="563" spans="1:38" x14ac:dyDescent="0.25">
      <c r="A563" s="4">
        <v>34</v>
      </c>
      <c r="B563" t="s">
        <v>48</v>
      </c>
      <c r="C563" t="s">
        <v>49</v>
      </c>
      <c r="D563" s="5" t="s">
        <v>50</v>
      </c>
      <c r="E563" t="s">
        <v>51</v>
      </c>
      <c r="F563" s="6">
        <v>45163</v>
      </c>
      <c r="G563" s="7">
        <v>0.41666666666666702</v>
      </c>
      <c r="H563" t="s">
        <v>52</v>
      </c>
      <c r="I563" s="5">
        <v>23</v>
      </c>
      <c r="J563" t="s">
        <v>85</v>
      </c>
      <c r="K563" s="6">
        <v>45163</v>
      </c>
      <c r="L563" s="23">
        <v>0.66666666666666696</v>
      </c>
      <c r="M563" s="5">
        <v>119962</v>
      </c>
      <c r="N563" s="5" t="s">
        <v>69</v>
      </c>
      <c r="O563" s="8" t="s">
        <v>56</v>
      </c>
      <c r="P563" t="s">
        <v>76</v>
      </c>
      <c r="Q563" t="s">
        <v>86</v>
      </c>
      <c r="R563" s="5" t="s">
        <v>58</v>
      </c>
      <c r="S563" s="9">
        <v>10</v>
      </c>
      <c r="T563" s="9">
        <v>5</v>
      </c>
      <c r="U563" s="9">
        <v>5</v>
      </c>
      <c r="V563" s="10">
        <f>Table1[[#This Row],[MARGIN '[€']]]/Table1[[#This Row],[SALES '[€']]]</f>
        <v>0.5</v>
      </c>
      <c r="W563" s="5" t="s">
        <v>1238</v>
      </c>
      <c r="X563" s="5" t="s">
        <v>1239</v>
      </c>
      <c r="Y563" s="4">
        <v>261</v>
      </c>
      <c r="AA563" t="s">
        <v>89</v>
      </c>
      <c r="AL563" t="s">
        <v>61</v>
      </c>
    </row>
    <row r="564" spans="1:38" x14ac:dyDescent="0.25">
      <c r="A564" s="4">
        <v>34</v>
      </c>
      <c r="B564" t="s">
        <v>48</v>
      </c>
      <c r="C564" t="s">
        <v>49</v>
      </c>
      <c r="D564" s="5" t="s">
        <v>50</v>
      </c>
      <c r="E564" t="s">
        <v>51</v>
      </c>
      <c r="F564" s="6">
        <v>45163</v>
      </c>
      <c r="G564" s="7">
        <v>0.16666666666666699</v>
      </c>
      <c r="H564" t="s">
        <v>52</v>
      </c>
      <c r="I564" s="5">
        <v>35</v>
      </c>
      <c r="J564" t="s">
        <v>54</v>
      </c>
      <c r="K564" s="6">
        <v>45163</v>
      </c>
      <c r="L564" s="23">
        <v>0.75</v>
      </c>
      <c r="M564" s="5">
        <v>120013</v>
      </c>
      <c r="N564" s="5" t="s">
        <v>55</v>
      </c>
      <c r="O564" s="8" t="s">
        <v>56</v>
      </c>
      <c r="Q564" t="s">
        <v>62</v>
      </c>
      <c r="R564" s="5" t="s">
        <v>58</v>
      </c>
      <c r="S564" s="9">
        <v>10</v>
      </c>
      <c r="T564" s="9">
        <v>5</v>
      </c>
      <c r="U564" s="9">
        <v>5</v>
      </c>
      <c r="V564" s="10">
        <f>Table1[[#This Row],[MARGIN '[€']]]/Table1[[#This Row],[SALES '[€']]]</f>
        <v>0.5</v>
      </c>
      <c r="W564" s="5">
        <v>9215166872</v>
      </c>
      <c r="X564" s="5" t="s">
        <v>1240</v>
      </c>
      <c r="Y564" s="4">
        <v>82</v>
      </c>
      <c r="AA564" t="s">
        <v>89</v>
      </c>
      <c r="AL564" t="s">
        <v>61</v>
      </c>
    </row>
    <row r="565" spans="1:38" x14ac:dyDescent="0.25">
      <c r="A565" s="4">
        <v>34</v>
      </c>
      <c r="B565" t="s">
        <v>48</v>
      </c>
      <c r="C565" t="s">
        <v>49</v>
      </c>
      <c r="D565" s="5" t="s">
        <v>50</v>
      </c>
      <c r="E565" t="s">
        <v>51</v>
      </c>
      <c r="F565" s="6">
        <v>45163</v>
      </c>
      <c r="G565" s="7">
        <v>0.1875</v>
      </c>
      <c r="H565" t="s">
        <v>52</v>
      </c>
      <c r="I565" s="5">
        <v>35</v>
      </c>
      <c r="J565" t="s">
        <v>54</v>
      </c>
      <c r="K565" s="6">
        <v>45163</v>
      </c>
      <c r="L565" s="23">
        <v>0.75</v>
      </c>
      <c r="M565" s="5">
        <v>120014</v>
      </c>
      <c r="N565" s="5" t="s">
        <v>55</v>
      </c>
      <c r="O565" s="8" t="s">
        <v>56</v>
      </c>
      <c r="Q565" t="s">
        <v>57</v>
      </c>
      <c r="R565" s="5" t="s">
        <v>58</v>
      </c>
      <c r="S565" s="9">
        <v>10</v>
      </c>
      <c r="T565" s="9">
        <v>5</v>
      </c>
      <c r="U565" s="9">
        <v>5</v>
      </c>
      <c r="V565" s="10">
        <f>Table1[[#This Row],[MARGIN '[€']]]/Table1[[#This Row],[SALES '[€']]]</f>
        <v>0.5</v>
      </c>
      <c r="W565" s="5">
        <v>9215166875</v>
      </c>
      <c r="X565" s="5" t="s">
        <v>1241</v>
      </c>
      <c r="Y565" s="4">
        <v>82</v>
      </c>
      <c r="AA565" t="s">
        <v>89</v>
      </c>
      <c r="AL565" t="s">
        <v>61</v>
      </c>
    </row>
    <row r="566" spans="1:38" x14ac:dyDescent="0.25">
      <c r="A566" s="4">
        <v>34</v>
      </c>
      <c r="B566" t="s">
        <v>48</v>
      </c>
      <c r="C566" t="s">
        <v>49</v>
      </c>
      <c r="D566" s="5" t="s">
        <v>50</v>
      </c>
      <c r="E566" t="s">
        <v>51</v>
      </c>
      <c r="F566" s="6">
        <v>45163</v>
      </c>
      <c r="G566" s="7">
        <v>0.20833333333333301</v>
      </c>
      <c r="H566" t="s">
        <v>52</v>
      </c>
      <c r="I566" s="5">
        <v>35</v>
      </c>
      <c r="J566" t="s">
        <v>54</v>
      </c>
      <c r="K566" s="6">
        <v>45163</v>
      </c>
      <c r="L566" s="23">
        <v>0.75</v>
      </c>
      <c r="M566" s="5">
        <v>120015</v>
      </c>
      <c r="N566" s="5" t="s">
        <v>55</v>
      </c>
      <c r="O566" s="8" t="s">
        <v>56</v>
      </c>
      <c r="Q566" t="s">
        <v>64</v>
      </c>
      <c r="R566" s="5" t="s">
        <v>58</v>
      </c>
      <c r="S566" s="9">
        <v>10</v>
      </c>
      <c r="T566" s="9">
        <v>5</v>
      </c>
      <c r="U566" s="9">
        <v>5</v>
      </c>
      <c r="V566" s="10">
        <f>Table1[[#This Row],[MARGIN '[€']]]/Table1[[#This Row],[SALES '[€']]]</f>
        <v>0.5</v>
      </c>
      <c r="W566" s="5">
        <v>9215166877</v>
      </c>
      <c r="X566" s="5" t="s">
        <v>1242</v>
      </c>
      <c r="Y566" s="4">
        <v>82</v>
      </c>
      <c r="AA566" t="s">
        <v>89</v>
      </c>
      <c r="AL566" t="s">
        <v>61</v>
      </c>
    </row>
    <row r="567" spans="1:38" x14ac:dyDescent="0.25">
      <c r="A567" s="4">
        <v>34</v>
      </c>
      <c r="B567" t="s">
        <v>48</v>
      </c>
      <c r="C567" t="s">
        <v>49</v>
      </c>
      <c r="D567" s="5" t="s">
        <v>50</v>
      </c>
      <c r="E567" t="s">
        <v>51</v>
      </c>
      <c r="F567" s="6">
        <v>45163</v>
      </c>
      <c r="G567" s="7">
        <v>0.33333333333333298</v>
      </c>
      <c r="H567" t="s">
        <v>52</v>
      </c>
      <c r="I567" s="5">
        <v>35</v>
      </c>
      <c r="J567" t="s">
        <v>54</v>
      </c>
      <c r="K567" s="6">
        <v>45163</v>
      </c>
      <c r="L567" s="23">
        <v>0.75</v>
      </c>
      <c r="M567" s="5">
        <v>120016</v>
      </c>
      <c r="N567" s="5" t="s">
        <v>55</v>
      </c>
      <c r="O567" s="8" t="s">
        <v>56</v>
      </c>
      <c r="Q567" t="s">
        <v>62</v>
      </c>
      <c r="R567" s="5" t="s">
        <v>58</v>
      </c>
      <c r="S567" s="9">
        <v>10</v>
      </c>
      <c r="T567" s="9">
        <v>5</v>
      </c>
      <c r="U567" s="9">
        <v>5</v>
      </c>
      <c r="V567" s="10">
        <f>Table1[[#This Row],[MARGIN '[€']]]/Table1[[#This Row],[SALES '[€']]]</f>
        <v>0.5</v>
      </c>
      <c r="W567" s="5">
        <v>9215166873</v>
      </c>
      <c r="X567" s="5" t="s">
        <v>1240</v>
      </c>
      <c r="Y567" s="4">
        <v>82</v>
      </c>
      <c r="AA567" t="s">
        <v>89</v>
      </c>
      <c r="AL567" t="s">
        <v>61</v>
      </c>
    </row>
    <row r="568" spans="1:38" x14ac:dyDescent="0.25">
      <c r="A568" s="4">
        <v>34</v>
      </c>
      <c r="B568" t="s">
        <v>48</v>
      </c>
      <c r="C568" t="s">
        <v>49</v>
      </c>
      <c r="D568" s="5" t="s">
        <v>50</v>
      </c>
      <c r="E568" t="s">
        <v>51</v>
      </c>
      <c r="F568" s="6">
        <v>45163</v>
      </c>
      <c r="G568" s="7">
        <v>0.34722222222222199</v>
      </c>
      <c r="H568" t="s">
        <v>52</v>
      </c>
      <c r="I568" s="5">
        <v>35</v>
      </c>
      <c r="J568" t="s">
        <v>54</v>
      </c>
      <c r="K568" s="6">
        <v>45163</v>
      </c>
      <c r="L568" s="23">
        <v>0.75</v>
      </c>
      <c r="M568" s="5">
        <v>120017</v>
      </c>
      <c r="N568" s="5" t="s">
        <v>55</v>
      </c>
      <c r="O568" s="8" t="s">
        <v>56</v>
      </c>
      <c r="Q568" t="s">
        <v>57</v>
      </c>
      <c r="R568" s="5" t="s">
        <v>58</v>
      </c>
      <c r="S568" s="9">
        <v>10</v>
      </c>
      <c r="T568" s="9">
        <v>5</v>
      </c>
      <c r="U568" s="9">
        <v>5</v>
      </c>
      <c r="V568" s="10">
        <f>Table1[[#This Row],[MARGIN '[€']]]/Table1[[#This Row],[SALES '[€']]]</f>
        <v>0.5</v>
      </c>
      <c r="W568" s="5">
        <v>9215166876</v>
      </c>
      <c r="X568" s="5" t="s">
        <v>1241</v>
      </c>
      <c r="Y568" s="4">
        <v>82</v>
      </c>
      <c r="AA568" t="s">
        <v>89</v>
      </c>
      <c r="AL568" t="s">
        <v>61</v>
      </c>
    </row>
    <row r="569" spans="1:38" x14ac:dyDescent="0.25">
      <c r="A569" s="4">
        <v>34</v>
      </c>
      <c r="B569" t="s">
        <v>48</v>
      </c>
      <c r="C569" t="s">
        <v>49</v>
      </c>
      <c r="D569" s="5" t="s">
        <v>50</v>
      </c>
      <c r="E569" t="s">
        <v>51</v>
      </c>
      <c r="F569" s="6">
        <v>45163</v>
      </c>
      <c r="G569" s="7">
        <v>0.36111111111111099</v>
      </c>
      <c r="H569" t="s">
        <v>52</v>
      </c>
      <c r="I569" s="5">
        <v>35</v>
      </c>
      <c r="J569" t="s">
        <v>54</v>
      </c>
      <c r="K569" s="6">
        <v>45163</v>
      </c>
      <c r="L569" s="23">
        <v>0.75</v>
      </c>
      <c r="M569" s="5">
        <v>120018</v>
      </c>
      <c r="N569" s="5" t="s">
        <v>55</v>
      </c>
      <c r="O569" s="8" t="s">
        <v>56</v>
      </c>
      <c r="Q569" t="s">
        <v>64</v>
      </c>
      <c r="R569" s="5" t="s">
        <v>58</v>
      </c>
      <c r="S569" s="9">
        <v>10</v>
      </c>
      <c r="T569" s="9">
        <v>5</v>
      </c>
      <c r="U569" s="9">
        <v>5</v>
      </c>
      <c r="V569" s="10">
        <f>Table1[[#This Row],[MARGIN '[€']]]/Table1[[#This Row],[SALES '[€']]]</f>
        <v>0.5</v>
      </c>
      <c r="W569" s="5">
        <v>9215166878</v>
      </c>
      <c r="X569" s="5" t="s">
        <v>1242</v>
      </c>
      <c r="Y569" s="4">
        <v>82</v>
      </c>
      <c r="AA569" t="s">
        <v>89</v>
      </c>
      <c r="AL569" t="s">
        <v>61</v>
      </c>
    </row>
    <row r="570" spans="1:38" x14ac:dyDescent="0.25">
      <c r="A570" s="4">
        <v>34</v>
      </c>
      <c r="B570" t="s">
        <v>48</v>
      </c>
      <c r="C570" t="s">
        <v>49</v>
      </c>
      <c r="D570" s="5" t="s">
        <v>50</v>
      </c>
      <c r="E570" t="s">
        <v>51</v>
      </c>
      <c r="F570" s="6">
        <v>45163</v>
      </c>
      <c r="G570" s="7">
        <v>0.22916666666666699</v>
      </c>
      <c r="H570" t="s">
        <v>90</v>
      </c>
      <c r="I570" s="5">
        <v>24</v>
      </c>
      <c r="J570" t="s">
        <v>92</v>
      </c>
      <c r="K570" s="6">
        <v>45163</v>
      </c>
      <c r="L570" s="23">
        <v>0.60416666666666696</v>
      </c>
      <c r="M570" s="5">
        <v>120066</v>
      </c>
      <c r="N570" s="5" t="s">
        <v>69</v>
      </c>
      <c r="O570" s="8" t="s">
        <v>56</v>
      </c>
      <c r="Q570" t="s">
        <v>93</v>
      </c>
      <c r="R570" s="5" t="s">
        <v>94</v>
      </c>
      <c r="S570" s="9">
        <v>10</v>
      </c>
      <c r="T570" s="9">
        <v>5</v>
      </c>
      <c r="U570" s="9">
        <v>5</v>
      </c>
      <c r="V570" s="10">
        <f>Table1[[#This Row],[MARGIN '[€']]]/Table1[[#This Row],[SALES '[€']]]</f>
        <v>0.5</v>
      </c>
      <c r="W570" s="5">
        <v>9215166981</v>
      </c>
      <c r="X570" s="5" t="s">
        <v>1243</v>
      </c>
      <c r="Y570" s="4">
        <v>441</v>
      </c>
      <c r="Z570" t="s">
        <v>1244</v>
      </c>
      <c r="AA570" t="s">
        <v>89</v>
      </c>
      <c r="AL570" t="s">
        <v>61</v>
      </c>
    </row>
    <row r="571" spans="1:38" x14ac:dyDescent="0.25">
      <c r="A571" s="4">
        <v>34</v>
      </c>
      <c r="B571" t="s">
        <v>48</v>
      </c>
      <c r="C571" t="s">
        <v>49</v>
      </c>
      <c r="D571" s="5" t="s">
        <v>102</v>
      </c>
      <c r="E571" t="s">
        <v>103</v>
      </c>
      <c r="F571" s="6">
        <v>45163</v>
      </c>
      <c r="G571" s="7">
        <v>0.65625</v>
      </c>
      <c r="H571" t="s">
        <v>90</v>
      </c>
      <c r="I571" s="5" t="s">
        <v>304</v>
      </c>
      <c r="J571" t="s">
        <v>305</v>
      </c>
      <c r="K571" s="6">
        <v>45168</v>
      </c>
      <c r="L571" s="23">
        <v>0.72916666666666696</v>
      </c>
      <c r="M571" s="5">
        <v>120075</v>
      </c>
      <c r="N571" s="5" t="s">
        <v>55</v>
      </c>
      <c r="O571" s="8" t="s">
        <v>56</v>
      </c>
      <c r="Q571" t="s">
        <v>1245</v>
      </c>
      <c r="R571" s="5" t="s">
        <v>307</v>
      </c>
      <c r="S571" s="9">
        <v>10</v>
      </c>
      <c r="T571" s="9">
        <v>5</v>
      </c>
      <c r="U571" s="9">
        <v>5</v>
      </c>
      <c r="V571" s="10">
        <f>Table1[[#This Row],[MARGIN '[€']]]/Table1[[#This Row],[SALES '[€']]]</f>
        <v>0.5</v>
      </c>
      <c r="W571" s="5">
        <v>9215166961</v>
      </c>
      <c r="X571" s="5" t="s">
        <v>1246</v>
      </c>
      <c r="Y571" s="4">
        <v>621</v>
      </c>
      <c r="AA571" t="s">
        <v>89</v>
      </c>
      <c r="AL571" t="s">
        <v>61</v>
      </c>
    </row>
    <row r="572" spans="1:38" x14ac:dyDescent="0.25">
      <c r="A572" s="4">
        <v>34</v>
      </c>
      <c r="B572" t="s">
        <v>48</v>
      </c>
      <c r="C572" t="s">
        <v>49</v>
      </c>
      <c r="D572" s="5" t="s">
        <v>102</v>
      </c>
      <c r="E572" t="s">
        <v>103</v>
      </c>
      <c r="F572" s="6">
        <v>45163</v>
      </c>
      <c r="G572" s="7">
        <v>0.4375</v>
      </c>
      <c r="H572" t="s">
        <v>216</v>
      </c>
      <c r="I572" s="5">
        <v>19</v>
      </c>
      <c r="J572" t="s">
        <v>217</v>
      </c>
      <c r="K572" s="6">
        <v>45167</v>
      </c>
      <c r="L572" s="23">
        <v>0.125</v>
      </c>
      <c r="M572" s="5">
        <v>119870</v>
      </c>
      <c r="N572" s="5" t="s">
        <v>69</v>
      </c>
      <c r="O572" s="8" t="s">
        <v>56</v>
      </c>
      <c r="Q572" t="s">
        <v>1247</v>
      </c>
      <c r="R572" s="5" t="s">
        <v>222</v>
      </c>
      <c r="S572" s="9">
        <v>10</v>
      </c>
      <c r="T572" s="9">
        <v>5</v>
      </c>
      <c r="U572" s="9">
        <v>5</v>
      </c>
      <c r="V572" s="10">
        <f>Table1[[#This Row],[MARGIN '[€']]]/Table1[[#This Row],[SALES '[€']]]</f>
        <v>0.5</v>
      </c>
      <c r="W572" s="5">
        <v>9215166960</v>
      </c>
      <c r="X572" s="5" t="s">
        <v>1248</v>
      </c>
      <c r="Y572" s="4">
        <v>629</v>
      </c>
      <c r="AA572" t="s">
        <v>89</v>
      </c>
      <c r="AL572" t="s">
        <v>61</v>
      </c>
    </row>
    <row r="573" spans="1:38" x14ac:dyDescent="0.25">
      <c r="A573" s="4">
        <v>34</v>
      </c>
      <c r="B573" t="s">
        <v>48</v>
      </c>
      <c r="C573" t="s">
        <v>49</v>
      </c>
      <c r="D573" s="5" t="s">
        <v>102</v>
      </c>
      <c r="E573" t="s">
        <v>103</v>
      </c>
      <c r="F573" s="6">
        <v>45163</v>
      </c>
      <c r="G573" s="7">
        <v>0.375</v>
      </c>
      <c r="H573" t="s">
        <v>90</v>
      </c>
      <c r="I573" s="5">
        <v>24</v>
      </c>
      <c r="J573" t="s">
        <v>92</v>
      </c>
      <c r="K573" s="6">
        <v>45166</v>
      </c>
      <c r="L573" s="23">
        <v>0.32986111111111099</v>
      </c>
      <c r="M573" s="5">
        <v>120153</v>
      </c>
      <c r="N573" s="5" t="s">
        <v>69</v>
      </c>
      <c r="O573" s="8" t="s">
        <v>56</v>
      </c>
      <c r="Q573" t="s">
        <v>526</v>
      </c>
      <c r="R573" s="5" t="s">
        <v>98</v>
      </c>
      <c r="S573" s="9">
        <v>10</v>
      </c>
      <c r="T573" s="9">
        <v>5</v>
      </c>
      <c r="U573" s="9">
        <v>5</v>
      </c>
      <c r="V573" s="10">
        <f>Table1[[#This Row],[MARGIN '[€']]]/Table1[[#This Row],[SALES '[€']]]</f>
        <v>0.5</v>
      </c>
      <c r="W573" s="5">
        <v>9215166994</v>
      </c>
      <c r="X573" s="5" t="s">
        <v>1249</v>
      </c>
      <c r="Y573" s="4">
        <v>441</v>
      </c>
      <c r="Z573" t="s">
        <v>1250</v>
      </c>
      <c r="AA573" t="s">
        <v>89</v>
      </c>
      <c r="AL573" t="s">
        <v>61</v>
      </c>
    </row>
    <row r="574" spans="1:38" x14ac:dyDescent="0.25">
      <c r="A574" s="4">
        <v>34</v>
      </c>
      <c r="B574" t="s">
        <v>48</v>
      </c>
      <c r="C574" t="s">
        <v>49</v>
      </c>
      <c r="D574" s="5" t="s">
        <v>50</v>
      </c>
      <c r="E574" t="s">
        <v>51</v>
      </c>
      <c r="F574" s="6">
        <v>45163</v>
      </c>
      <c r="G574" s="7">
        <v>0.36111111111111099</v>
      </c>
      <c r="H574" t="s">
        <v>52</v>
      </c>
      <c r="I574" s="5">
        <v>35</v>
      </c>
      <c r="J574" t="s">
        <v>54</v>
      </c>
      <c r="K574" s="6">
        <v>45163</v>
      </c>
      <c r="L574" s="23">
        <v>0.29166666666666702</v>
      </c>
      <c r="M574" s="5">
        <v>120184</v>
      </c>
      <c r="N574" s="5" t="s">
        <v>55</v>
      </c>
      <c r="O574" s="8" t="s">
        <v>56</v>
      </c>
      <c r="Q574" t="s">
        <v>64</v>
      </c>
      <c r="R574" s="5" t="s">
        <v>58</v>
      </c>
      <c r="S574" s="9">
        <v>10</v>
      </c>
      <c r="T574" s="9">
        <v>5</v>
      </c>
      <c r="U574" s="9">
        <v>5</v>
      </c>
      <c r="V574" s="10">
        <f>Table1[[#This Row],[MARGIN '[€']]]/Table1[[#This Row],[SALES '[€']]]</f>
        <v>0.5</v>
      </c>
      <c r="W574" s="5">
        <v>9215166980</v>
      </c>
      <c r="X574" s="5" t="s">
        <v>1251</v>
      </c>
      <c r="Y574" s="4">
        <v>82</v>
      </c>
      <c r="AA574" t="s">
        <v>89</v>
      </c>
      <c r="AL574" t="s">
        <v>61</v>
      </c>
    </row>
    <row r="575" spans="1:38" x14ac:dyDescent="0.25">
      <c r="A575" s="4">
        <v>34</v>
      </c>
      <c r="B575" t="s">
        <v>48</v>
      </c>
      <c r="C575" t="s">
        <v>49</v>
      </c>
      <c r="D575" s="5" t="s">
        <v>50</v>
      </c>
      <c r="E575" t="s">
        <v>51</v>
      </c>
      <c r="F575" s="6">
        <v>45165</v>
      </c>
      <c r="G575" s="7">
        <v>0.95833333333333304</v>
      </c>
      <c r="H575" t="s">
        <v>90</v>
      </c>
      <c r="I575" s="5">
        <v>24</v>
      </c>
      <c r="J575" t="s">
        <v>92</v>
      </c>
      <c r="K575" s="6">
        <v>45166</v>
      </c>
      <c r="L575" s="23">
        <v>0.24652777777777801</v>
      </c>
      <c r="M575" s="5">
        <v>120152</v>
      </c>
      <c r="N575" s="5" t="s">
        <v>69</v>
      </c>
      <c r="O575" s="8" t="s">
        <v>56</v>
      </c>
      <c r="Q575" t="s">
        <v>748</v>
      </c>
      <c r="R575" s="5" t="s">
        <v>98</v>
      </c>
      <c r="S575" s="9">
        <v>10</v>
      </c>
      <c r="T575" s="9">
        <v>5</v>
      </c>
      <c r="U575" s="9">
        <v>5</v>
      </c>
      <c r="V575" s="10">
        <f>Table1[[#This Row],[MARGIN '[€']]]/Table1[[#This Row],[SALES '[€']]]</f>
        <v>0.5</v>
      </c>
      <c r="W575" s="5">
        <v>9215166992</v>
      </c>
      <c r="X575" s="5" t="s">
        <v>1252</v>
      </c>
      <c r="Y575" s="4">
        <v>441</v>
      </c>
      <c r="Z575" t="s">
        <v>1253</v>
      </c>
      <c r="AA575" t="s">
        <v>89</v>
      </c>
      <c r="AL575" t="s">
        <v>61</v>
      </c>
    </row>
    <row r="576" spans="1:38" x14ac:dyDescent="0.25">
      <c r="A576" s="4">
        <v>34</v>
      </c>
      <c r="B576" t="s">
        <v>48</v>
      </c>
      <c r="C576" t="s">
        <v>49</v>
      </c>
      <c r="D576" s="5" t="s">
        <v>50</v>
      </c>
      <c r="E576" t="s">
        <v>51</v>
      </c>
      <c r="F576" s="6">
        <v>45165</v>
      </c>
      <c r="G576" s="7">
        <v>0.97916666666666696</v>
      </c>
      <c r="H576" t="s">
        <v>90</v>
      </c>
      <c r="I576" s="5">
        <v>24</v>
      </c>
      <c r="J576" t="s">
        <v>92</v>
      </c>
      <c r="K576" s="6">
        <v>45166</v>
      </c>
      <c r="L576" s="23">
        <v>0.55902777777777801</v>
      </c>
      <c r="M576" s="5">
        <v>120155</v>
      </c>
      <c r="N576" s="5" t="s">
        <v>69</v>
      </c>
      <c r="O576" s="8" t="s">
        <v>56</v>
      </c>
      <c r="Q576" t="s">
        <v>323</v>
      </c>
      <c r="R576" s="5" t="s">
        <v>98</v>
      </c>
      <c r="S576" s="9">
        <v>10</v>
      </c>
      <c r="T576" s="9">
        <v>5</v>
      </c>
      <c r="U576" s="9">
        <v>5</v>
      </c>
      <c r="V576" s="10">
        <f>Table1[[#This Row],[MARGIN '[€']]]/Table1[[#This Row],[SALES '[€']]]</f>
        <v>0.5</v>
      </c>
      <c r="W576" s="5">
        <v>9215166993</v>
      </c>
      <c r="X576" s="5" t="s">
        <v>1254</v>
      </c>
      <c r="Y576" s="4">
        <v>441</v>
      </c>
      <c r="Z576" t="s">
        <v>1255</v>
      </c>
      <c r="AA576" t="s">
        <v>89</v>
      </c>
      <c r="AL576" t="s">
        <v>61</v>
      </c>
    </row>
    <row r="577" spans="1:40" x14ac:dyDescent="0.25">
      <c r="A577" s="4">
        <v>35</v>
      </c>
      <c r="B577" t="s">
        <v>476</v>
      </c>
      <c r="C577" t="s">
        <v>49</v>
      </c>
      <c r="D577" s="5" t="s">
        <v>479</v>
      </c>
      <c r="E577" t="s">
        <v>480</v>
      </c>
      <c r="F577" s="6">
        <v>45166</v>
      </c>
      <c r="G577" s="7">
        <v>0.41666666666666702</v>
      </c>
      <c r="H577" t="s">
        <v>153</v>
      </c>
      <c r="I577" s="5" t="s">
        <v>477</v>
      </c>
      <c r="J577" t="s">
        <v>478</v>
      </c>
      <c r="K577" s="6">
        <v>45169</v>
      </c>
      <c r="L577" s="23">
        <v>0.41666666666666702</v>
      </c>
      <c r="N577" s="5" t="s">
        <v>55</v>
      </c>
      <c r="O577" s="8" t="s">
        <v>56</v>
      </c>
      <c r="P577" t="s">
        <v>450</v>
      </c>
      <c r="Q577" t="s">
        <v>1161</v>
      </c>
      <c r="R577" s="5" t="s">
        <v>482</v>
      </c>
      <c r="S577" s="9">
        <v>10</v>
      </c>
      <c r="T577" s="9">
        <v>5</v>
      </c>
      <c r="U577" s="9">
        <v>5</v>
      </c>
      <c r="V577" s="10">
        <f>Table1[[#This Row],[MARGIN '[€']]]/Table1[[#This Row],[SALES '[€']]]</f>
        <v>0.5</v>
      </c>
      <c r="W577" s="5" t="s">
        <v>1256</v>
      </c>
      <c r="X577" s="5" t="s">
        <v>1257</v>
      </c>
      <c r="Y577" s="4">
        <v>1900</v>
      </c>
      <c r="AA577" t="s">
        <v>73</v>
      </c>
      <c r="AL577" t="s">
        <v>61</v>
      </c>
    </row>
    <row r="578" spans="1:40" x14ac:dyDescent="0.25">
      <c r="A578" s="4">
        <v>35</v>
      </c>
      <c r="B578" t="s">
        <v>170</v>
      </c>
      <c r="C578" t="s">
        <v>49</v>
      </c>
      <c r="D578" s="5" t="s">
        <v>156</v>
      </c>
      <c r="E578" t="s">
        <v>173</v>
      </c>
      <c r="F578" s="6">
        <v>45166</v>
      </c>
      <c r="G578" s="7">
        <v>0.54166666666666696</v>
      </c>
      <c r="H578" t="s">
        <v>153</v>
      </c>
      <c r="I578" s="5" t="s">
        <v>171</v>
      </c>
      <c r="J578" t="s">
        <v>172</v>
      </c>
      <c r="K578" s="6">
        <v>45168</v>
      </c>
      <c r="L578" s="23">
        <v>0.375</v>
      </c>
      <c r="N578" s="5" t="s">
        <v>55</v>
      </c>
      <c r="O578" s="8" t="s">
        <v>159</v>
      </c>
      <c r="P578">
        <v>1500</v>
      </c>
      <c r="Q578" t="s">
        <v>1258</v>
      </c>
      <c r="R578" s="5" t="s">
        <v>161</v>
      </c>
      <c r="S578" s="9">
        <v>10</v>
      </c>
      <c r="T578" s="9">
        <v>5</v>
      </c>
      <c r="U578" s="9">
        <v>5</v>
      </c>
      <c r="V578" s="10">
        <f>Table1[[#This Row],[MARGIN '[€']]]/Table1[[#This Row],[SALES '[€']]]</f>
        <v>0.5</v>
      </c>
      <c r="W578" s="5">
        <v>3800171138</v>
      </c>
      <c r="X578" s="5" t="s">
        <v>1259</v>
      </c>
      <c r="Y578" s="4">
        <v>1766</v>
      </c>
      <c r="AA578" t="s">
        <v>163</v>
      </c>
      <c r="AD578">
        <v>14</v>
      </c>
      <c r="AE578" s="3">
        <v>4</v>
      </c>
      <c r="AL578" t="s">
        <v>61</v>
      </c>
    </row>
    <row r="579" spans="1:40" x14ac:dyDescent="0.25">
      <c r="A579" s="4">
        <v>35</v>
      </c>
      <c r="B579" t="s">
        <v>333</v>
      </c>
      <c r="C579" t="s">
        <v>49</v>
      </c>
      <c r="D579" s="5" t="s">
        <v>334</v>
      </c>
      <c r="E579" t="s">
        <v>335</v>
      </c>
      <c r="F579" s="6">
        <v>45166</v>
      </c>
      <c r="G579" s="7">
        <v>0.79166666666666696</v>
      </c>
      <c r="H579" t="s">
        <v>1260</v>
      </c>
      <c r="I579" s="5">
        <v>18</v>
      </c>
      <c r="J579" t="s">
        <v>1261</v>
      </c>
      <c r="K579" s="6">
        <v>45168</v>
      </c>
      <c r="L579" s="23">
        <v>0.27083333333333298</v>
      </c>
      <c r="M579" s="5">
        <v>1002947945</v>
      </c>
      <c r="N579" s="5" t="s">
        <v>337</v>
      </c>
      <c r="O579" s="8" t="s">
        <v>338</v>
      </c>
      <c r="P579" t="s">
        <v>393</v>
      </c>
      <c r="Q579" t="s">
        <v>1262</v>
      </c>
      <c r="R579" s="5" t="s">
        <v>1263</v>
      </c>
      <c r="S579" s="9">
        <v>10</v>
      </c>
      <c r="T579" s="9">
        <v>5</v>
      </c>
      <c r="U579" s="9">
        <v>5</v>
      </c>
      <c r="V579" s="10">
        <f>Table1[[#This Row],[MARGIN '[€']]]/Table1[[#This Row],[SALES '[€']]]</f>
        <v>0.5</v>
      </c>
      <c r="W579" s="5">
        <v>9215166719</v>
      </c>
      <c r="X579" s="5" t="s">
        <v>1264</v>
      </c>
      <c r="Y579" s="4">
        <v>1457</v>
      </c>
      <c r="AA579" t="s">
        <v>342</v>
      </c>
      <c r="AL579" t="s">
        <v>61</v>
      </c>
    </row>
    <row r="580" spans="1:40" x14ac:dyDescent="0.25">
      <c r="A580" s="4">
        <v>35</v>
      </c>
      <c r="B580" t="s">
        <v>333</v>
      </c>
      <c r="C580" t="s">
        <v>49</v>
      </c>
      <c r="D580" s="5" t="s">
        <v>334</v>
      </c>
      <c r="E580" t="s">
        <v>335</v>
      </c>
      <c r="F580" s="6">
        <v>45166</v>
      </c>
      <c r="G580" s="7">
        <v>0.79166666666666696</v>
      </c>
      <c r="H580" t="s">
        <v>138</v>
      </c>
      <c r="I580" s="5" t="s">
        <v>1265</v>
      </c>
      <c r="J580" t="s">
        <v>571</v>
      </c>
      <c r="K580" s="6">
        <v>45170</v>
      </c>
      <c r="L580" s="23">
        <v>0.625</v>
      </c>
      <c r="M580" s="5">
        <v>1002933545</v>
      </c>
      <c r="N580" s="5" t="s">
        <v>337</v>
      </c>
      <c r="O580" s="8" t="s">
        <v>338</v>
      </c>
      <c r="P580" t="s">
        <v>393</v>
      </c>
      <c r="Q580" t="s">
        <v>1266</v>
      </c>
      <c r="R580" s="5" t="s">
        <v>565</v>
      </c>
      <c r="S580" s="9">
        <v>10</v>
      </c>
      <c r="T580" s="9">
        <v>5</v>
      </c>
      <c r="U580" s="9">
        <v>5</v>
      </c>
      <c r="V580" s="10">
        <f>Table1[[#This Row],[MARGIN '[€']]]/Table1[[#This Row],[SALES '[€']]]</f>
        <v>0.5</v>
      </c>
      <c r="W580" s="5">
        <v>9215166631</v>
      </c>
      <c r="X580" s="5" t="s">
        <v>1267</v>
      </c>
      <c r="Y580" s="4">
        <v>1755</v>
      </c>
      <c r="Z580">
        <v>0</v>
      </c>
      <c r="AA580" t="s">
        <v>342</v>
      </c>
      <c r="AL580" t="s">
        <v>61</v>
      </c>
      <c r="AN580">
        <v>921</v>
      </c>
    </row>
    <row r="581" spans="1:40" x14ac:dyDescent="0.25">
      <c r="A581" s="4">
        <v>35</v>
      </c>
      <c r="B581" t="s">
        <v>333</v>
      </c>
      <c r="C581" t="s">
        <v>49</v>
      </c>
      <c r="D581" s="5" t="s">
        <v>334</v>
      </c>
      <c r="E581" t="s">
        <v>335</v>
      </c>
      <c r="F581" s="6">
        <v>45166</v>
      </c>
      <c r="G581" s="7">
        <v>0.79166666666666696</v>
      </c>
      <c r="H581" t="s">
        <v>138</v>
      </c>
      <c r="I581" s="5" t="s">
        <v>1268</v>
      </c>
      <c r="J581" t="s">
        <v>401</v>
      </c>
      <c r="K581" s="6">
        <v>45170</v>
      </c>
      <c r="L581" s="23">
        <v>0.375</v>
      </c>
      <c r="M581" s="5">
        <v>1002945003</v>
      </c>
      <c r="N581" s="5" t="s">
        <v>337</v>
      </c>
      <c r="O581" s="8" t="s">
        <v>338</v>
      </c>
      <c r="P581" t="s">
        <v>863</v>
      </c>
      <c r="Q581" t="s">
        <v>1269</v>
      </c>
      <c r="R581" s="5" t="s">
        <v>513</v>
      </c>
      <c r="S581" s="9">
        <v>10</v>
      </c>
      <c r="T581" s="9">
        <v>5</v>
      </c>
      <c r="U581" s="9">
        <v>5</v>
      </c>
      <c r="V581" s="10">
        <f>Table1[[#This Row],[MARGIN '[€']]]/Table1[[#This Row],[SALES '[€']]]</f>
        <v>0.5</v>
      </c>
      <c r="W581" s="5">
        <v>9215166697</v>
      </c>
      <c r="X581" s="5" t="s">
        <v>1270</v>
      </c>
      <c r="Y581" s="4">
        <v>1860</v>
      </c>
      <c r="AA581" t="s">
        <v>342</v>
      </c>
      <c r="AL581" t="s">
        <v>61</v>
      </c>
    </row>
    <row r="582" spans="1:40" x14ac:dyDescent="0.25">
      <c r="A582" s="4">
        <v>35</v>
      </c>
      <c r="B582" t="s">
        <v>333</v>
      </c>
      <c r="C582" t="s">
        <v>49</v>
      </c>
      <c r="D582" s="5" t="s">
        <v>334</v>
      </c>
      <c r="E582" t="s">
        <v>335</v>
      </c>
      <c r="F582" s="6">
        <v>45166</v>
      </c>
      <c r="G582" s="7">
        <v>0.79166666666666696</v>
      </c>
      <c r="H582" t="s">
        <v>138</v>
      </c>
      <c r="I582" s="5" t="s">
        <v>1268</v>
      </c>
      <c r="J582" t="s">
        <v>401</v>
      </c>
      <c r="K582" s="6">
        <v>45170</v>
      </c>
      <c r="L582" s="23">
        <v>0.375</v>
      </c>
      <c r="M582" s="5">
        <v>1002944977</v>
      </c>
      <c r="N582" s="5" t="s">
        <v>337</v>
      </c>
      <c r="O582" s="8" t="s">
        <v>338</v>
      </c>
      <c r="P582" t="s">
        <v>1271</v>
      </c>
      <c r="Q582" t="s">
        <v>1272</v>
      </c>
      <c r="R582" s="5" t="s">
        <v>738</v>
      </c>
      <c r="S582" s="9">
        <v>10</v>
      </c>
      <c r="T582" s="9">
        <v>5</v>
      </c>
      <c r="U582" s="9">
        <v>5</v>
      </c>
      <c r="V582" s="10">
        <f>Table1[[#This Row],[MARGIN '[€']]]/Table1[[#This Row],[SALES '[€']]]</f>
        <v>0.5</v>
      </c>
      <c r="W582" s="5">
        <v>9215166632</v>
      </c>
      <c r="X582" s="5" t="s">
        <v>1273</v>
      </c>
      <c r="Y582" s="4">
        <v>1860</v>
      </c>
      <c r="AA582" t="s">
        <v>342</v>
      </c>
      <c r="AL582" t="s">
        <v>61</v>
      </c>
    </row>
    <row r="583" spans="1:40" x14ac:dyDescent="0.25">
      <c r="A583" s="4">
        <v>35</v>
      </c>
      <c r="B583" t="s">
        <v>234</v>
      </c>
      <c r="C583" t="s">
        <v>49</v>
      </c>
      <c r="D583" s="5" t="s">
        <v>50</v>
      </c>
      <c r="E583" t="s">
        <v>235</v>
      </c>
      <c r="F583" s="6">
        <v>45166</v>
      </c>
      <c r="G583" s="7">
        <v>0.625</v>
      </c>
      <c r="H583" t="s">
        <v>600</v>
      </c>
      <c r="I583" s="5" t="s">
        <v>601</v>
      </c>
      <c r="J583" t="s">
        <v>602</v>
      </c>
      <c r="K583" s="6">
        <v>45168</v>
      </c>
      <c r="L583" s="23">
        <v>0.375</v>
      </c>
      <c r="N583" s="5" t="s">
        <v>142</v>
      </c>
      <c r="O583" s="8" t="s">
        <v>238</v>
      </c>
      <c r="Q583" t="s">
        <v>603</v>
      </c>
      <c r="R583" s="5" t="s">
        <v>604</v>
      </c>
      <c r="S583" s="9">
        <v>10</v>
      </c>
      <c r="T583" s="9">
        <v>5</v>
      </c>
      <c r="U583" s="9">
        <v>5</v>
      </c>
      <c r="V583" s="10">
        <f>Table1[[#This Row],[MARGIN '[€']]]/Table1[[#This Row],[SALES '[€']]]</f>
        <v>0.5</v>
      </c>
      <c r="W583" s="5">
        <v>9215166943</v>
      </c>
      <c r="X583" s="5" t="s">
        <v>1274</v>
      </c>
      <c r="Y583" s="4">
        <v>364</v>
      </c>
      <c r="AA583" t="s">
        <v>163</v>
      </c>
      <c r="AL583" t="s">
        <v>61</v>
      </c>
    </row>
    <row r="584" spans="1:40" x14ac:dyDescent="0.25">
      <c r="A584" s="4">
        <v>35</v>
      </c>
      <c r="B584" t="s">
        <v>234</v>
      </c>
      <c r="C584" t="s">
        <v>49</v>
      </c>
      <c r="D584" s="5" t="s">
        <v>50</v>
      </c>
      <c r="E584" t="s">
        <v>235</v>
      </c>
      <c r="F584" s="6">
        <v>45166</v>
      </c>
      <c r="G584" s="7">
        <v>0.75</v>
      </c>
      <c r="H584" t="s">
        <v>216</v>
      </c>
      <c r="I584" s="5" t="s">
        <v>236</v>
      </c>
      <c r="J584" t="s">
        <v>237</v>
      </c>
      <c r="K584" s="6">
        <v>45167</v>
      </c>
      <c r="L584" s="23">
        <v>0.375</v>
      </c>
      <c r="N584" s="5" t="s">
        <v>55</v>
      </c>
      <c r="O584" s="8" t="s">
        <v>450</v>
      </c>
      <c r="Q584" t="s">
        <v>451</v>
      </c>
      <c r="R584" s="5" t="s">
        <v>452</v>
      </c>
      <c r="S584" s="9">
        <v>10</v>
      </c>
      <c r="T584" s="9">
        <v>5</v>
      </c>
      <c r="U584" s="9">
        <v>5</v>
      </c>
      <c r="V584" s="10">
        <f>Table1[[#This Row],[MARGIN '[€']]]/Table1[[#This Row],[SALES '[€']]]</f>
        <v>0.5</v>
      </c>
      <c r="W584" s="5" t="s">
        <v>1275</v>
      </c>
      <c r="X584" s="5" t="s">
        <v>1276</v>
      </c>
      <c r="Y584" s="4">
        <v>656</v>
      </c>
      <c r="AA584" t="s">
        <v>163</v>
      </c>
      <c r="AL584" t="s">
        <v>61</v>
      </c>
    </row>
    <row r="585" spans="1:40" x14ac:dyDescent="0.25">
      <c r="A585" s="4">
        <v>35</v>
      </c>
      <c r="B585" t="s">
        <v>607</v>
      </c>
      <c r="C585" t="s">
        <v>138</v>
      </c>
      <c r="D585" s="5" t="s">
        <v>968</v>
      </c>
      <c r="E585" t="s">
        <v>969</v>
      </c>
      <c r="F585" s="6">
        <v>45166</v>
      </c>
      <c r="G585" s="7">
        <v>0.75</v>
      </c>
      <c r="H585" t="s">
        <v>49</v>
      </c>
      <c r="I585" s="5" t="s">
        <v>156</v>
      </c>
      <c r="J585" t="s">
        <v>884</v>
      </c>
      <c r="K585" s="6">
        <v>45168</v>
      </c>
      <c r="L585" s="23">
        <v>0.70833333333333304</v>
      </c>
      <c r="N585" s="5" t="s">
        <v>55</v>
      </c>
      <c r="O585" s="8" t="s">
        <v>56</v>
      </c>
      <c r="P585" t="s">
        <v>609</v>
      </c>
      <c r="Q585" t="s">
        <v>1277</v>
      </c>
      <c r="R585" s="5" t="s">
        <v>611</v>
      </c>
      <c r="S585" s="9">
        <v>10</v>
      </c>
      <c r="T585" s="9">
        <v>5</v>
      </c>
      <c r="U585" s="9">
        <v>5</v>
      </c>
      <c r="V585" s="10">
        <f>Table1[[#This Row],[MARGIN '[€']]]/Table1[[#This Row],[SALES '[€']]]</f>
        <v>0.5</v>
      </c>
      <c r="X585" s="5" t="s">
        <v>1278</v>
      </c>
      <c r="Y585" s="4">
        <v>1361</v>
      </c>
      <c r="Z585">
        <v>41</v>
      </c>
      <c r="AA585" t="s">
        <v>163</v>
      </c>
      <c r="AL585" t="s">
        <v>61</v>
      </c>
      <c r="AN585" t="s">
        <v>613</v>
      </c>
    </row>
    <row r="586" spans="1:40" x14ac:dyDescent="0.25">
      <c r="A586" s="4">
        <v>35</v>
      </c>
      <c r="B586" t="s">
        <v>607</v>
      </c>
      <c r="C586" t="s">
        <v>49</v>
      </c>
      <c r="D586" s="5" t="s">
        <v>156</v>
      </c>
      <c r="E586" t="s">
        <v>880</v>
      </c>
      <c r="F586" s="6">
        <v>45166</v>
      </c>
      <c r="G586" s="7">
        <v>0.41666666666666702</v>
      </c>
      <c r="H586" t="s">
        <v>138</v>
      </c>
      <c r="I586" s="5" t="s">
        <v>1279</v>
      </c>
      <c r="J586" t="s">
        <v>1280</v>
      </c>
      <c r="K586" s="6">
        <v>45168</v>
      </c>
      <c r="L586" s="23">
        <v>0.375</v>
      </c>
      <c r="M586" s="5" t="s">
        <v>1281</v>
      </c>
      <c r="N586" s="5" t="s">
        <v>55</v>
      </c>
      <c r="O586" s="8" t="s">
        <v>56</v>
      </c>
      <c r="P586" t="s">
        <v>609</v>
      </c>
      <c r="Q586" t="s">
        <v>1282</v>
      </c>
      <c r="R586" s="5" t="s">
        <v>659</v>
      </c>
      <c r="S586" s="9">
        <v>10</v>
      </c>
      <c r="T586" s="9">
        <v>5</v>
      </c>
      <c r="U586" s="9">
        <v>5</v>
      </c>
      <c r="V586" s="10">
        <f>Table1[[#This Row],[MARGIN '[€']]]/Table1[[#This Row],[SALES '[€']]]</f>
        <v>0.5</v>
      </c>
      <c r="W586" s="5">
        <v>4353062886</v>
      </c>
      <c r="X586" s="5" t="s">
        <v>1283</v>
      </c>
      <c r="Y586" s="4">
        <v>1428</v>
      </c>
      <c r="Z586">
        <v>0</v>
      </c>
      <c r="AA586" t="s">
        <v>163</v>
      </c>
      <c r="AL586" t="s">
        <v>61</v>
      </c>
      <c r="AN586" t="s">
        <v>613</v>
      </c>
    </row>
    <row r="587" spans="1:40" x14ac:dyDescent="0.25">
      <c r="A587" s="4">
        <v>35</v>
      </c>
      <c r="B587" t="s">
        <v>607</v>
      </c>
      <c r="C587" t="s">
        <v>49</v>
      </c>
      <c r="D587" s="5" t="s">
        <v>156</v>
      </c>
      <c r="E587" t="s">
        <v>880</v>
      </c>
      <c r="F587" s="6">
        <v>45166</v>
      </c>
      <c r="G587" s="7">
        <v>0.41666666666666702</v>
      </c>
      <c r="H587" t="s">
        <v>384</v>
      </c>
      <c r="I587" s="5" t="s">
        <v>1284</v>
      </c>
      <c r="J587" t="s">
        <v>1285</v>
      </c>
      <c r="K587" s="6">
        <v>45168</v>
      </c>
      <c r="L587" s="23">
        <v>0.41666666666666702</v>
      </c>
      <c r="M587" s="5" t="s">
        <v>1286</v>
      </c>
      <c r="N587" s="5" t="s">
        <v>55</v>
      </c>
      <c r="O587" s="8" t="s">
        <v>56</v>
      </c>
      <c r="P587" t="s">
        <v>609</v>
      </c>
      <c r="Q587" t="s">
        <v>658</v>
      </c>
      <c r="R587" s="5" t="s">
        <v>659</v>
      </c>
      <c r="S587" s="9">
        <v>10</v>
      </c>
      <c r="T587" s="9">
        <v>5</v>
      </c>
      <c r="U587" s="9">
        <v>5</v>
      </c>
      <c r="V587" s="10">
        <f>Table1[[#This Row],[MARGIN '[€']]]/Table1[[#This Row],[SALES '[€']]]</f>
        <v>0.5</v>
      </c>
      <c r="W587" s="5">
        <v>4353062889</v>
      </c>
      <c r="X587" s="5" t="s">
        <v>1287</v>
      </c>
      <c r="Y587" s="4">
        <v>1034</v>
      </c>
      <c r="Z587">
        <v>16</v>
      </c>
      <c r="AA587" t="s">
        <v>163</v>
      </c>
      <c r="AL587" t="s">
        <v>61</v>
      </c>
      <c r="AN587" t="s">
        <v>613</v>
      </c>
    </row>
    <row r="588" spans="1:40" x14ac:dyDescent="0.25">
      <c r="A588" s="4">
        <v>35</v>
      </c>
      <c r="B588" t="s">
        <v>48</v>
      </c>
      <c r="C588" t="s">
        <v>49</v>
      </c>
      <c r="D588" s="5" t="s">
        <v>50</v>
      </c>
      <c r="E588" t="s">
        <v>51</v>
      </c>
      <c r="F588" s="6">
        <v>45166</v>
      </c>
      <c r="G588" s="7">
        <v>0.47222222222222199</v>
      </c>
      <c r="H588" t="s">
        <v>66</v>
      </c>
      <c r="I588" s="5">
        <v>32</v>
      </c>
      <c r="J588" t="s">
        <v>68</v>
      </c>
      <c r="K588" s="6">
        <v>45167</v>
      </c>
      <c r="L588" s="23">
        <v>8.3333333333333301E-2</v>
      </c>
      <c r="M588" s="5">
        <v>119927</v>
      </c>
      <c r="N588" s="5" t="s">
        <v>69</v>
      </c>
      <c r="O588" s="8" t="s">
        <v>56</v>
      </c>
      <c r="Q588" t="s">
        <v>1169</v>
      </c>
      <c r="R588" s="5" t="s">
        <v>177</v>
      </c>
      <c r="S588" s="9">
        <v>10</v>
      </c>
      <c r="T588" s="9">
        <v>5</v>
      </c>
      <c r="U588" s="9">
        <v>5</v>
      </c>
      <c r="V588" s="10">
        <f>Table1[[#This Row],[MARGIN '[€']]]/Table1[[#This Row],[SALES '[€']]]</f>
        <v>0.5</v>
      </c>
      <c r="W588" s="5">
        <v>9215167015</v>
      </c>
      <c r="X588" s="5" t="s">
        <v>1288</v>
      </c>
      <c r="Y588" s="4">
        <v>316</v>
      </c>
      <c r="AA588" t="s">
        <v>73</v>
      </c>
      <c r="AL588" t="s">
        <v>61</v>
      </c>
    </row>
    <row r="589" spans="1:40" x14ac:dyDescent="0.25">
      <c r="A589" s="4">
        <v>35</v>
      </c>
      <c r="B589" t="s">
        <v>48</v>
      </c>
      <c r="C589" t="s">
        <v>49</v>
      </c>
      <c r="D589" s="5" t="s">
        <v>50</v>
      </c>
      <c r="E589" t="s">
        <v>51</v>
      </c>
      <c r="F589" s="6">
        <v>45166</v>
      </c>
      <c r="G589" s="7">
        <v>0.625</v>
      </c>
      <c r="H589" t="s">
        <v>66</v>
      </c>
      <c r="I589" s="5">
        <v>32</v>
      </c>
      <c r="J589" t="s">
        <v>68</v>
      </c>
      <c r="K589" s="6">
        <v>45167</v>
      </c>
      <c r="L589" s="23">
        <v>0.25</v>
      </c>
      <c r="M589" s="5">
        <v>119928</v>
      </c>
      <c r="N589" s="5" t="s">
        <v>69</v>
      </c>
      <c r="O589" s="8" t="s">
        <v>56</v>
      </c>
      <c r="Q589" t="s">
        <v>181</v>
      </c>
      <c r="R589" s="5" t="s">
        <v>177</v>
      </c>
      <c r="S589" s="9">
        <v>10</v>
      </c>
      <c r="T589" s="9">
        <v>5</v>
      </c>
      <c r="U589" s="9">
        <v>5</v>
      </c>
      <c r="V589" s="10">
        <f>Table1[[#This Row],[MARGIN '[€']]]/Table1[[#This Row],[SALES '[€']]]</f>
        <v>0.5</v>
      </c>
      <c r="W589" s="5">
        <v>9215167016</v>
      </c>
      <c r="X589" s="5" t="s">
        <v>1289</v>
      </c>
      <c r="Y589" s="4">
        <v>316</v>
      </c>
      <c r="AA589" t="s">
        <v>73</v>
      </c>
      <c r="AL589" t="s">
        <v>61</v>
      </c>
    </row>
    <row r="590" spans="1:40" x14ac:dyDescent="0.25">
      <c r="A590" s="4">
        <v>35</v>
      </c>
      <c r="B590" t="s">
        <v>48</v>
      </c>
      <c r="C590" t="s">
        <v>49</v>
      </c>
      <c r="D590" s="5" t="s">
        <v>50</v>
      </c>
      <c r="E590" t="s">
        <v>51</v>
      </c>
      <c r="F590" s="6">
        <v>45166</v>
      </c>
      <c r="G590" s="7">
        <v>0.48611111111111099</v>
      </c>
      <c r="H590" t="s">
        <v>66</v>
      </c>
      <c r="I590" s="5">
        <v>32</v>
      </c>
      <c r="J590" t="s">
        <v>68</v>
      </c>
      <c r="K590" s="6">
        <v>45167</v>
      </c>
      <c r="L590" s="23">
        <v>0.41666666666666702</v>
      </c>
      <c r="M590" s="5">
        <v>119929</v>
      </c>
      <c r="N590" s="5" t="s">
        <v>69</v>
      </c>
      <c r="O590" s="8" t="s">
        <v>56</v>
      </c>
      <c r="Q590" t="s">
        <v>1175</v>
      </c>
      <c r="R590" s="5" t="s">
        <v>71</v>
      </c>
      <c r="S590" s="9">
        <v>10</v>
      </c>
      <c r="T590" s="9">
        <v>5</v>
      </c>
      <c r="U590" s="9">
        <v>5</v>
      </c>
      <c r="V590" s="10">
        <f>Table1[[#This Row],[MARGIN '[€']]]/Table1[[#This Row],[SALES '[€']]]</f>
        <v>0.5</v>
      </c>
      <c r="W590" s="5">
        <v>9215167003</v>
      </c>
      <c r="X590" s="5" t="s">
        <v>1290</v>
      </c>
      <c r="Y590" s="4">
        <v>316</v>
      </c>
      <c r="AA590" t="s">
        <v>73</v>
      </c>
      <c r="AL590" t="s">
        <v>61</v>
      </c>
    </row>
    <row r="591" spans="1:40" x14ac:dyDescent="0.25">
      <c r="A591" s="4">
        <v>35</v>
      </c>
      <c r="B591" t="s">
        <v>48</v>
      </c>
      <c r="C591" t="s">
        <v>49</v>
      </c>
      <c r="D591" s="5" t="s">
        <v>50</v>
      </c>
      <c r="E591" t="s">
        <v>51</v>
      </c>
      <c r="F591" s="6">
        <v>45166</v>
      </c>
      <c r="G591" s="7">
        <v>0.66666666666666696</v>
      </c>
      <c r="H591" t="s">
        <v>66</v>
      </c>
      <c r="I591" s="5">
        <v>32</v>
      </c>
      <c r="J591" t="s">
        <v>68</v>
      </c>
      <c r="K591" s="6">
        <v>45167</v>
      </c>
      <c r="L591" s="3">
        <v>0.58333333333333304</v>
      </c>
      <c r="M591" s="5">
        <v>119930</v>
      </c>
      <c r="N591" s="5" t="s">
        <v>69</v>
      </c>
      <c r="O591" s="8" t="s">
        <v>56</v>
      </c>
      <c r="Q591" t="s">
        <v>1291</v>
      </c>
      <c r="R591" s="5" t="s">
        <v>71</v>
      </c>
      <c r="S591" s="9">
        <v>10</v>
      </c>
      <c r="T591" s="9">
        <v>5</v>
      </c>
      <c r="U591" s="9">
        <v>5</v>
      </c>
      <c r="V591" s="10">
        <f>Table1[[#This Row],[MARGIN '[€']]]/Table1[[#This Row],[SALES '[€']]]</f>
        <v>0.5</v>
      </c>
      <c r="W591" s="5">
        <v>9215167005</v>
      </c>
      <c r="X591" s="5" t="s">
        <v>1292</v>
      </c>
      <c r="Y591" s="4">
        <v>316</v>
      </c>
      <c r="AA591" t="s">
        <v>73</v>
      </c>
      <c r="AL591" t="s">
        <v>61</v>
      </c>
    </row>
    <row r="592" spans="1:40" x14ac:dyDescent="0.25">
      <c r="A592" s="4">
        <v>35</v>
      </c>
      <c r="B592" t="s">
        <v>48</v>
      </c>
      <c r="C592" t="s">
        <v>49</v>
      </c>
      <c r="D592" s="5" t="s">
        <v>50</v>
      </c>
      <c r="E592" t="s">
        <v>51</v>
      </c>
      <c r="F592" s="6">
        <v>45166</v>
      </c>
      <c r="G592" s="7">
        <v>0.5</v>
      </c>
      <c r="H592" t="s">
        <v>66</v>
      </c>
      <c r="I592" s="5">
        <v>32</v>
      </c>
      <c r="J592" t="s">
        <v>68</v>
      </c>
      <c r="K592" s="6">
        <v>45167</v>
      </c>
      <c r="L592" s="23">
        <v>0.75</v>
      </c>
      <c r="M592" s="5">
        <v>119931</v>
      </c>
      <c r="N592" s="5" t="s">
        <v>69</v>
      </c>
      <c r="O592" s="8" t="s">
        <v>56</v>
      </c>
      <c r="Q592" t="s">
        <v>981</v>
      </c>
      <c r="R592" s="5" t="s">
        <v>71</v>
      </c>
      <c r="S592" s="9">
        <v>10</v>
      </c>
      <c r="T592" s="9">
        <v>5</v>
      </c>
      <c r="U592" s="9">
        <v>5</v>
      </c>
      <c r="V592" s="10">
        <f>Table1[[#This Row],[MARGIN '[€']]]/Table1[[#This Row],[SALES '[€']]]</f>
        <v>0.5</v>
      </c>
      <c r="W592" s="5">
        <v>9215167006</v>
      </c>
      <c r="X592" s="5" t="s">
        <v>1293</v>
      </c>
      <c r="Y592" s="4">
        <v>316</v>
      </c>
      <c r="AA592" t="s">
        <v>73</v>
      </c>
      <c r="AL592" t="s">
        <v>61</v>
      </c>
    </row>
    <row r="593" spans="1:38" x14ac:dyDescent="0.25">
      <c r="A593" s="4">
        <v>35</v>
      </c>
      <c r="B593" t="s">
        <v>48</v>
      </c>
      <c r="C593" t="s">
        <v>49</v>
      </c>
      <c r="D593" s="5" t="s">
        <v>50</v>
      </c>
      <c r="E593" t="s">
        <v>51</v>
      </c>
      <c r="F593" s="6">
        <v>45166</v>
      </c>
      <c r="G593" s="7">
        <v>0.70833333333333304</v>
      </c>
      <c r="H593" t="s">
        <v>66</v>
      </c>
      <c r="I593" s="5">
        <v>32</v>
      </c>
      <c r="J593" t="s">
        <v>68</v>
      </c>
      <c r="K593" s="6">
        <v>45168</v>
      </c>
      <c r="L593" s="23">
        <v>8.3333333333333301E-2</v>
      </c>
      <c r="M593" s="5">
        <v>119932</v>
      </c>
      <c r="N593" s="5" t="s">
        <v>69</v>
      </c>
      <c r="O593" s="8" t="s">
        <v>56</v>
      </c>
      <c r="Q593" t="s">
        <v>77</v>
      </c>
      <c r="R593" s="5" t="s">
        <v>71</v>
      </c>
      <c r="S593" s="9">
        <v>10</v>
      </c>
      <c r="T593" s="9">
        <v>5</v>
      </c>
      <c r="U593" s="9">
        <v>5</v>
      </c>
      <c r="V593" s="10">
        <f>Table1[[#This Row],[MARGIN '[€']]]/Table1[[#This Row],[SALES '[€']]]</f>
        <v>0.5</v>
      </c>
      <c r="W593" s="5">
        <v>9215167008</v>
      </c>
      <c r="X593" s="5" t="s">
        <v>1294</v>
      </c>
      <c r="Y593" s="4">
        <v>316</v>
      </c>
      <c r="AA593" t="s">
        <v>73</v>
      </c>
      <c r="AL593" t="s">
        <v>61</v>
      </c>
    </row>
    <row r="594" spans="1:38" x14ac:dyDescent="0.25">
      <c r="A594" s="4">
        <v>35</v>
      </c>
      <c r="B594" t="s">
        <v>48</v>
      </c>
      <c r="C594" t="s">
        <v>49</v>
      </c>
      <c r="D594" s="5" t="s">
        <v>50</v>
      </c>
      <c r="E594" t="s">
        <v>51</v>
      </c>
      <c r="F594" s="6">
        <v>45166</v>
      </c>
      <c r="G594" s="7">
        <v>0.63888888888888895</v>
      </c>
      <c r="H594" t="s">
        <v>66</v>
      </c>
      <c r="I594" s="5">
        <v>32</v>
      </c>
      <c r="J594" t="s">
        <v>68</v>
      </c>
      <c r="K594" s="6">
        <v>45168</v>
      </c>
      <c r="L594" s="23">
        <v>0.25</v>
      </c>
      <c r="M594" s="5">
        <v>119933</v>
      </c>
      <c r="N594" s="5" t="s">
        <v>69</v>
      </c>
      <c r="O594" s="8" t="s">
        <v>56</v>
      </c>
      <c r="Q594" t="s">
        <v>248</v>
      </c>
      <c r="R594" s="5" t="s">
        <v>71</v>
      </c>
      <c r="S594" s="9">
        <v>10</v>
      </c>
      <c r="T594" s="9">
        <v>5</v>
      </c>
      <c r="U594" s="9">
        <v>5</v>
      </c>
      <c r="V594" s="10">
        <f>Table1[[#This Row],[MARGIN '[€']]]/Table1[[#This Row],[SALES '[€']]]</f>
        <v>0.5</v>
      </c>
      <c r="W594" s="5">
        <v>9215167009</v>
      </c>
      <c r="X594" s="5" t="s">
        <v>1295</v>
      </c>
      <c r="Y594" s="4">
        <v>316</v>
      </c>
      <c r="AA594" t="s">
        <v>73</v>
      </c>
      <c r="AL594" t="s">
        <v>61</v>
      </c>
    </row>
    <row r="595" spans="1:38" x14ac:dyDescent="0.25">
      <c r="A595" s="4">
        <v>35</v>
      </c>
      <c r="B595" t="s">
        <v>48</v>
      </c>
      <c r="C595" t="s">
        <v>49</v>
      </c>
      <c r="D595" s="5" t="s">
        <v>50</v>
      </c>
      <c r="E595" t="s">
        <v>51</v>
      </c>
      <c r="F595" s="6">
        <v>45166</v>
      </c>
      <c r="G595" s="7">
        <v>0.22916666666666699</v>
      </c>
      <c r="H595" t="s">
        <v>66</v>
      </c>
      <c r="I595" s="5">
        <v>32</v>
      </c>
      <c r="J595" t="s">
        <v>68</v>
      </c>
      <c r="K595" s="6">
        <v>45168</v>
      </c>
      <c r="L595" s="23">
        <v>0.58333333333333304</v>
      </c>
      <c r="M595" s="5">
        <v>119935</v>
      </c>
      <c r="N595" s="5" t="s">
        <v>69</v>
      </c>
      <c r="O595" s="8" t="s">
        <v>56</v>
      </c>
      <c r="Q595" t="s">
        <v>176</v>
      </c>
      <c r="R595" s="5" t="s">
        <v>177</v>
      </c>
      <c r="S595" s="9">
        <v>10</v>
      </c>
      <c r="T595" s="9">
        <v>5</v>
      </c>
      <c r="U595" s="9">
        <v>5</v>
      </c>
      <c r="V595" s="10">
        <f>Table1[[#This Row],[MARGIN '[€']]]/Table1[[#This Row],[SALES '[€']]]</f>
        <v>0.5</v>
      </c>
      <c r="W595" s="5">
        <v>9215167044</v>
      </c>
      <c r="X595" s="5" t="s">
        <v>1296</v>
      </c>
      <c r="Y595" s="4">
        <v>316</v>
      </c>
      <c r="AA595" t="s">
        <v>73</v>
      </c>
      <c r="AL595" t="s">
        <v>61</v>
      </c>
    </row>
    <row r="596" spans="1:38" x14ac:dyDescent="0.25">
      <c r="A596" s="4">
        <v>35</v>
      </c>
      <c r="B596" t="s">
        <v>48</v>
      </c>
      <c r="C596" t="s">
        <v>49</v>
      </c>
      <c r="D596" s="5" t="s">
        <v>102</v>
      </c>
      <c r="E596" t="s">
        <v>103</v>
      </c>
      <c r="F596" s="6">
        <v>45166</v>
      </c>
      <c r="G596" s="7">
        <v>0.46875</v>
      </c>
      <c r="H596" t="s">
        <v>90</v>
      </c>
      <c r="I596" s="5">
        <v>23</v>
      </c>
      <c r="J596" t="s">
        <v>133</v>
      </c>
      <c r="K596" s="6">
        <v>45167</v>
      </c>
      <c r="L596" s="23">
        <v>0.33333333333333298</v>
      </c>
      <c r="M596" s="5">
        <v>120077</v>
      </c>
      <c r="N596" s="5" t="s">
        <v>55</v>
      </c>
      <c r="O596" s="8" t="s">
        <v>56</v>
      </c>
      <c r="Q596" t="s">
        <v>988</v>
      </c>
      <c r="R596" s="5" t="s">
        <v>344</v>
      </c>
      <c r="S596" s="9">
        <v>10</v>
      </c>
      <c r="T596" s="9">
        <v>5</v>
      </c>
      <c r="U596" s="9">
        <v>5</v>
      </c>
      <c r="V596" s="10">
        <f>Table1[[#This Row],[MARGIN '[€']]]/Table1[[#This Row],[SALES '[€']]]</f>
        <v>0.5</v>
      </c>
      <c r="W596" s="5">
        <v>9215166956</v>
      </c>
      <c r="X596" s="5" t="s">
        <v>1297</v>
      </c>
      <c r="Y596" s="4">
        <v>483</v>
      </c>
      <c r="AA596" t="s">
        <v>89</v>
      </c>
      <c r="AL596" t="s">
        <v>61</v>
      </c>
    </row>
    <row r="597" spans="1:38" x14ac:dyDescent="0.25">
      <c r="A597" s="4">
        <v>35</v>
      </c>
      <c r="B597" t="s">
        <v>48</v>
      </c>
      <c r="C597" t="s">
        <v>49</v>
      </c>
      <c r="D597" s="5" t="s">
        <v>102</v>
      </c>
      <c r="E597" t="s">
        <v>103</v>
      </c>
      <c r="F597" s="6">
        <v>45166</v>
      </c>
      <c r="G597" s="7">
        <v>0.59375</v>
      </c>
      <c r="H597" t="s">
        <v>90</v>
      </c>
      <c r="I597" s="5">
        <v>23</v>
      </c>
      <c r="J597" t="s">
        <v>133</v>
      </c>
      <c r="K597" s="6">
        <v>45168</v>
      </c>
      <c r="L597" s="23">
        <v>0.33333333333333298</v>
      </c>
      <c r="M597" s="5">
        <v>120078</v>
      </c>
      <c r="N597" s="5" t="s">
        <v>55</v>
      </c>
      <c r="O597" s="8" t="s">
        <v>56</v>
      </c>
      <c r="P597" t="s">
        <v>76</v>
      </c>
      <c r="Q597" t="s">
        <v>1298</v>
      </c>
      <c r="R597" s="5" t="s">
        <v>344</v>
      </c>
      <c r="S597" s="9">
        <v>10</v>
      </c>
      <c r="T597" s="9">
        <v>5</v>
      </c>
      <c r="U597" s="9">
        <v>5</v>
      </c>
      <c r="V597" s="10">
        <f>Table1[[#This Row],[MARGIN '[€']]]/Table1[[#This Row],[SALES '[€']]]</f>
        <v>0.5</v>
      </c>
      <c r="W597" s="5" t="s">
        <v>1299</v>
      </c>
      <c r="X597" s="5" t="s">
        <v>1300</v>
      </c>
      <c r="Y597" s="4">
        <v>483</v>
      </c>
      <c r="AA597" t="s">
        <v>89</v>
      </c>
      <c r="AL597" t="s">
        <v>61</v>
      </c>
    </row>
    <row r="598" spans="1:38" x14ac:dyDescent="0.25">
      <c r="A598" s="4">
        <v>35</v>
      </c>
      <c r="B598" t="s">
        <v>48</v>
      </c>
      <c r="C598" t="s">
        <v>49</v>
      </c>
      <c r="D598" s="5" t="s">
        <v>102</v>
      </c>
      <c r="E598" t="s">
        <v>103</v>
      </c>
      <c r="F598" s="6">
        <v>45166</v>
      </c>
      <c r="G598" s="7">
        <v>0.66666666666666696</v>
      </c>
      <c r="H598" t="s">
        <v>90</v>
      </c>
      <c r="I598" s="5">
        <v>23</v>
      </c>
      <c r="J598" t="s">
        <v>133</v>
      </c>
      <c r="K598" s="6">
        <v>45167</v>
      </c>
      <c r="L598" s="23">
        <v>0.5</v>
      </c>
      <c r="M598" s="5">
        <v>120076</v>
      </c>
      <c r="N598" s="5" t="s">
        <v>69</v>
      </c>
      <c r="O598" s="8" t="s">
        <v>56</v>
      </c>
      <c r="Q598" t="s">
        <v>1301</v>
      </c>
      <c r="R598" s="5" t="s">
        <v>1302</v>
      </c>
      <c r="S598" s="9">
        <v>10</v>
      </c>
      <c r="T598" s="9">
        <v>5</v>
      </c>
      <c r="U598" s="9">
        <v>5</v>
      </c>
      <c r="V598" s="10">
        <f>Table1[[#This Row],[MARGIN '[€']]]/Table1[[#This Row],[SALES '[€']]]</f>
        <v>0.5</v>
      </c>
      <c r="W598" s="5" t="s">
        <v>1303</v>
      </c>
      <c r="X598" s="5" t="s">
        <v>1304</v>
      </c>
      <c r="Y598" s="4">
        <v>483</v>
      </c>
      <c r="AA598" t="s">
        <v>73</v>
      </c>
      <c r="AL598" t="s">
        <v>61</v>
      </c>
    </row>
    <row r="599" spans="1:38" x14ac:dyDescent="0.25">
      <c r="A599" s="4">
        <v>35</v>
      </c>
      <c r="B599" t="s">
        <v>48</v>
      </c>
      <c r="C599" t="s">
        <v>49</v>
      </c>
      <c r="D599" s="5" t="s">
        <v>102</v>
      </c>
      <c r="E599" t="s">
        <v>103</v>
      </c>
      <c r="F599" s="6">
        <v>45166</v>
      </c>
      <c r="G599" s="7">
        <v>0.4375</v>
      </c>
      <c r="H599" t="s">
        <v>90</v>
      </c>
      <c r="I599" s="5">
        <v>23</v>
      </c>
      <c r="J599" t="s">
        <v>133</v>
      </c>
      <c r="K599" s="6">
        <v>45168</v>
      </c>
      <c r="L599" s="23">
        <v>0.375</v>
      </c>
      <c r="M599" s="5">
        <v>120079</v>
      </c>
      <c r="N599" s="5" t="s">
        <v>55</v>
      </c>
      <c r="O599" s="8" t="s">
        <v>56</v>
      </c>
      <c r="Q599" t="s">
        <v>1305</v>
      </c>
      <c r="R599" s="5" t="s">
        <v>307</v>
      </c>
      <c r="S599" s="9">
        <v>10</v>
      </c>
      <c r="T599" s="9">
        <v>5</v>
      </c>
      <c r="U599" s="9">
        <v>5</v>
      </c>
      <c r="V599" s="10">
        <f>Table1[[#This Row],[MARGIN '[€']]]/Table1[[#This Row],[SALES '[€']]]</f>
        <v>0.5</v>
      </c>
      <c r="W599" s="5">
        <v>9215166958</v>
      </c>
      <c r="X599" s="5" t="s">
        <v>1306</v>
      </c>
      <c r="Y599" s="4">
        <v>483</v>
      </c>
      <c r="AA599" t="s">
        <v>89</v>
      </c>
      <c r="AL599" t="s">
        <v>61</v>
      </c>
    </row>
    <row r="600" spans="1:38" x14ac:dyDescent="0.25">
      <c r="A600" s="4">
        <v>35</v>
      </c>
      <c r="B600" t="s">
        <v>48</v>
      </c>
      <c r="C600" t="s">
        <v>49</v>
      </c>
      <c r="D600" s="5" t="s">
        <v>50</v>
      </c>
      <c r="E600" t="s">
        <v>51</v>
      </c>
      <c r="F600" s="6">
        <v>45166</v>
      </c>
      <c r="G600" s="7">
        <v>6.25E-2</v>
      </c>
      <c r="H600" t="s">
        <v>90</v>
      </c>
      <c r="I600" s="5">
        <v>24</v>
      </c>
      <c r="J600" t="s">
        <v>92</v>
      </c>
      <c r="K600" s="6">
        <v>45166</v>
      </c>
      <c r="L600" s="23">
        <v>0.49652777777777801</v>
      </c>
      <c r="M600" s="5">
        <v>120154</v>
      </c>
      <c r="N600" s="5" t="s">
        <v>69</v>
      </c>
      <c r="O600" s="8" t="s">
        <v>56</v>
      </c>
      <c r="Q600" t="s">
        <v>1307</v>
      </c>
      <c r="R600" s="5" t="s">
        <v>94</v>
      </c>
      <c r="S600" s="9">
        <v>10</v>
      </c>
      <c r="T600" s="9">
        <v>5</v>
      </c>
      <c r="U600" s="9">
        <v>5</v>
      </c>
      <c r="V600" s="10">
        <f>Table1[[#This Row],[MARGIN '[€']]]/Table1[[#This Row],[SALES '[€']]]</f>
        <v>0.5</v>
      </c>
      <c r="W600" s="5">
        <v>9215166986</v>
      </c>
      <c r="X600" s="5" t="s">
        <v>1308</v>
      </c>
      <c r="Y600" s="4">
        <v>441</v>
      </c>
      <c r="Z600" t="s">
        <v>1309</v>
      </c>
      <c r="AA600" t="s">
        <v>89</v>
      </c>
      <c r="AL600" t="s">
        <v>61</v>
      </c>
    </row>
    <row r="601" spans="1:38" x14ac:dyDescent="0.25">
      <c r="A601" s="4">
        <v>35</v>
      </c>
      <c r="B601" t="s">
        <v>48</v>
      </c>
      <c r="C601" t="s">
        <v>49</v>
      </c>
      <c r="D601" s="5" t="s">
        <v>50</v>
      </c>
      <c r="E601" t="s">
        <v>51</v>
      </c>
      <c r="F601" s="6">
        <v>45166</v>
      </c>
      <c r="G601" s="7">
        <v>0.20833333333333301</v>
      </c>
      <c r="H601" t="s">
        <v>90</v>
      </c>
      <c r="I601" s="5">
        <v>24</v>
      </c>
      <c r="J601" t="s">
        <v>92</v>
      </c>
      <c r="K601" s="6">
        <v>45166</v>
      </c>
      <c r="L601" s="23">
        <v>0.62152777777777801</v>
      </c>
      <c r="M601" s="5">
        <v>120156</v>
      </c>
      <c r="N601" s="5" t="s">
        <v>69</v>
      </c>
      <c r="O601" s="8" t="s">
        <v>56</v>
      </c>
      <c r="Q601" t="s">
        <v>188</v>
      </c>
      <c r="R601" s="5" t="s">
        <v>94</v>
      </c>
      <c r="S601" s="9">
        <v>10</v>
      </c>
      <c r="T601" s="9">
        <v>5</v>
      </c>
      <c r="U601" s="9">
        <v>5</v>
      </c>
      <c r="V601" s="10">
        <f>Table1[[#This Row],[MARGIN '[€']]]/Table1[[#This Row],[SALES '[€']]]</f>
        <v>0.5</v>
      </c>
      <c r="W601" s="5">
        <v>9215166987</v>
      </c>
      <c r="X601" s="5" t="s">
        <v>1310</v>
      </c>
      <c r="Y601" s="4">
        <v>441</v>
      </c>
      <c r="Z601" t="s">
        <v>1311</v>
      </c>
      <c r="AA601" t="s">
        <v>89</v>
      </c>
      <c r="AL601" t="s">
        <v>61</v>
      </c>
    </row>
    <row r="602" spans="1:38" x14ac:dyDescent="0.25">
      <c r="A602" s="4">
        <v>35</v>
      </c>
      <c r="B602" t="s">
        <v>48</v>
      </c>
      <c r="C602" t="s">
        <v>49</v>
      </c>
      <c r="D602" s="5" t="s">
        <v>50</v>
      </c>
      <c r="E602" t="s">
        <v>51</v>
      </c>
      <c r="F602" s="6">
        <v>45166</v>
      </c>
      <c r="G602" s="7">
        <v>0.29166666666666702</v>
      </c>
      <c r="H602" t="s">
        <v>90</v>
      </c>
      <c r="I602" s="5">
        <v>24</v>
      </c>
      <c r="J602" t="s">
        <v>92</v>
      </c>
      <c r="K602" s="6">
        <v>45166</v>
      </c>
      <c r="L602" s="23">
        <v>0.68402777777777801</v>
      </c>
      <c r="M602" s="5">
        <v>120157</v>
      </c>
      <c r="N602" s="5" t="s">
        <v>55</v>
      </c>
      <c r="O602" s="8" t="s">
        <v>56</v>
      </c>
      <c r="Q602" t="s">
        <v>1312</v>
      </c>
      <c r="R602" s="5" t="s">
        <v>94</v>
      </c>
      <c r="S602" s="9">
        <v>10</v>
      </c>
      <c r="T602" s="9">
        <v>5</v>
      </c>
      <c r="U602" s="9">
        <v>5</v>
      </c>
      <c r="V602" s="10">
        <f>Table1[[#This Row],[MARGIN '[€']]]/Table1[[#This Row],[SALES '[€']]]</f>
        <v>0.5</v>
      </c>
      <c r="W602" s="5">
        <v>9215166988</v>
      </c>
      <c r="X602" s="5" t="s">
        <v>1313</v>
      </c>
      <c r="Y602" s="4">
        <v>441</v>
      </c>
      <c r="Z602" t="s">
        <v>1314</v>
      </c>
      <c r="AA602" t="s">
        <v>89</v>
      </c>
      <c r="AL602" t="s">
        <v>61</v>
      </c>
    </row>
    <row r="603" spans="1:38" x14ac:dyDescent="0.25">
      <c r="A603" s="4">
        <v>35</v>
      </c>
      <c r="B603" t="s">
        <v>48</v>
      </c>
      <c r="C603" t="s">
        <v>49</v>
      </c>
      <c r="D603" s="5" t="s">
        <v>50</v>
      </c>
      <c r="E603" t="s">
        <v>51</v>
      </c>
      <c r="F603" s="6">
        <v>45166</v>
      </c>
      <c r="G603" s="7">
        <v>0.40277777777777801</v>
      </c>
      <c r="H603" t="s">
        <v>90</v>
      </c>
      <c r="I603" s="5">
        <v>24</v>
      </c>
      <c r="J603" t="s">
        <v>92</v>
      </c>
      <c r="K603" s="6">
        <v>45166</v>
      </c>
      <c r="L603" s="23">
        <v>0.80902777777777801</v>
      </c>
      <c r="M603" s="5">
        <v>120159</v>
      </c>
      <c r="N603" s="5" t="s">
        <v>69</v>
      </c>
      <c r="O603" s="8" t="s">
        <v>56</v>
      </c>
      <c r="Q603" t="s">
        <v>499</v>
      </c>
      <c r="R603" s="5" t="s">
        <v>500</v>
      </c>
      <c r="S603" s="9">
        <v>10</v>
      </c>
      <c r="T603" s="9">
        <v>5</v>
      </c>
      <c r="U603" s="9">
        <v>5</v>
      </c>
      <c r="V603" s="10">
        <f>Table1[[#This Row],[MARGIN '[€']]]/Table1[[#This Row],[SALES '[€']]]</f>
        <v>0.5</v>
      </c>
      <c r="W603" s="5">
        <v>9215166996</v>
      </c>
      <c r="X603" s="5" t="s">
        <v>1315</v>
      </c>
      <c r="Y603" s="4">
        <v>441</v>
      </c>
      <c r="Z603" t="s">
        <v>1316</v>
      </c>
      <c r="AA603" t="s">
        <v>89</v>
      </c>
      <c r="AL603" t="s">
        <v>61</v>
      </c>
    </row>
    <row r="604" spans="1:38" x14ac:dyDescent="0.25">
      <c r="A604" s="4">
        <v>35</v>
      </c>
      <c r="B604" t="s">
        <v>48</v>
      </c>
      <c r="C604" t="s">
        <v>49</v>
      </c>
      <c r="D604" s="5" t="s">
        <v>50</v>
      </c>
      <c r="E604" t="s">
        <v>51</v>
      </c>
      <c r="F604" s="6">
        <v>45166</v>
      </c>
      <c r="G604" s="7">
        <v>0.60416666666666696</v>
      </c>
      <c r="H604" t="s">
        <v>90</v>
      </c>
      <c r="I604" s="5">
        <v>24</v>
      </c>
      <c r="J604" t="s">
        <v>92</v>
      </c>
      <c r="K604" s="6">
        <v>45167</v>
      </c>
      <c r="L604" s="23">
        <v>0.30902777777777801</v>
      </c>
      <c r="M604" s="5">
        <v>120158</v>
      </c>
      <c r="N604" s="5" t="s">
        <v>69</v>
      </c>
      <c r="O604" s="8" t="s">
        <v>56</v>
      </c>
      <c r="Q604" t="s">
        <v>1317</v>
      </c>
      <c r="R604" s="5" t="s">
        <v>835</v>
      </c>
      <c r="S604" s="9">
        <v>10</v>
      </c>
      <c r="T604" s="9">
        <v>5</v>
      </c>
      <c r="U604" s="9">
        <v>5</v>
      </c>
      <c r="V604" s="10">
        <f>Table1[[#This Row],[MARGIN '[€']]]/Table1[[#This Row],[SALES '[€']]]</f>
        <v>0.5</v>
      </c>
      <c r="W604" s="5">
        <v>9215166997</v>
      </c>
      <c r="X604" s="5" t="s">
        <v>1318</v>
      </c>
      <c r="Y604" s="4">
        <v>441</v>
      </c>
      <c r="Z604" t="s">
        <v>1319</v>
      </c>
      <c r="AA604" t="s">
        <v>73</v>
      </c>
      <c r="AL604" t="s">
        <v>61</v>
      </c>
    </row>
    <row r="605" spans="1:38" x14ac:dyDescent="0.25">
      <c r="A605" s="4">
        <v>35</v>
      </c>
      <c r="B605" t="s">
        <v>48</v>
      </c>
      <c r="C605" t="s">
        <v>49</v>
      </c>
      <c r="D605" s="5" t="s">
        <v>102</v>
      </c>
      <c r="E605" t="s">
        <v>103</v>
      </c>
      <c r="F605" s="6">
        <v>45166</v>
      </c>
      <c r="G605" s="7">
        <v>0.75</v>
      </c>
      <c r="H605" t="s">
        <v>90</v>
      </c>
      <c r="I605" s="5">
        <v>24</v>
      </c>
      <c r="J605" t="s">
        <v>92</v>
      </c>
      <c r="K605" s="6">
        <v>45168</v>
      </c>
      <c r="L605" s="23">
        <v>0.24652777777777801</v>
      </c>
      <c r="M605" s="5">
        <v>120160</v>
      </c>
      <c r="N605" s="5" t="s">
        <v>69</v>
      </c>
      <c r="O605" s="8" t="s">
        <v>56</v>
      </c>
      <c r="P605" t="s">
        <v>76</v>
      </c>
      <c r="Q605" t="s">
        <v>117</v>
      </c>
      <c r="R605" s="5" t="s">
        <v>118</v>
      </c>
      <c r="S605" s="9">
        <v>10</v>
      </c>
      <c r="T605" s="9">
        <v>5</v>
      </c>
      <c r="U605" s="9">
        <v>5</v>
      </c>
      <c r="V605" s="10">
        <f>Table1[[#This Row],[MARGIN '[€']]]/Table1[[#This Row],[SALES '[€']]]</f>
        <v>0.5</v>
      </c>
      <c r="W605" s="5" t="s">
        <v>1320</v>
      </c>
      <c r="X605" s="5" t="s">
        <v>1321</v>
      </c>
      <c r="Y605" s="4">
        <v>441</v>
      </c>
      <c r="Z605" t="s">
        <v>1322</v>
      </c>
      <c r="AA605" t="s">
        <v>89</v>
      </c>
      <c r="AL605" t="s">
        <v>61</v>
      </c>
    </row>
    <row r="606" spans="1:38" x14ac:dyDescent="0.25">
      <c r="A606" s="4">
        <v>35</v>
      </c>
      <c r="B606" t="s">
        <v>48</v>
      </c>
      <c r="C606" t="s">
        <v>49</v>
      </c>
      <c r="D606" s="5" t="s">
        <v>102</v>
      </c>
      <c r="E606" t="s">
        <v>103</v>
      </c>
      <c r="F606" s="6">
        <v>45166</v>
      </c>
      <c r="G606" s="7">
        <v>0.375</v>
      </c>
      <c r="H606" t="s">
        <v>90</v>
      </c>
      <c r="I606" s="5">
        <v>24</v>
      </c>
      <c r="J606" t="s">
        <v>92</v>
      </c>
      <c r="K606" s="6">
        <v>45168</v>
      </c>
      <c r="L606" s="23">
        <v>0.32986111111111099</v>
      </c>
      <c r="M606" s="5">
        <v>120161</v>
      </c>
      <c r="N606" s="5" t="s">
        <v>69</v>
      </c>
      <c r="O606" s="8" t="s">
        <v>56</v>
      </c>
      <c r="Q606" t="s">
        <v>114</v>
      </c>
      <c r="R606" s="5" t="s">
        <v>94</v>
      </c>
      <c r="S606" s="9">
        <v>10</v>
      </c>
      <c r="T606" s="9">
        <v>5</v>
      </c>
      <c r="U606" s="9">
        <v>5</v>
      </c>
      <c r="V606" s="10">
        <f>Table1[[#This Row],[MARGIN '[€']]]/Table1[[#This Row],[SALES '[€']]]</f>
        <v>0.5</v>
      </c>
      <c r="W606" s="5">
        <v>9215167010</v>
      </c>
      <c r="X606" s="5" t="s">
        <v>1323</v>
      </c>
      <c r="Y606" s="4">
        <v>441</v>
      </c>
      <c r="Z606" t="s">
        <v>1324</v>
      </c>
      <c r="AA606" t="s">
        <v>89</v>
      </c>
      <c r="AL606" t="s">
        <v>61</v>
      </c>
    </row>
    <row r="607" spans="1:38" x14ac:dyDescent="0.25">
      <c r="A607" s="4">
        <v>35</v>
      </c>
      <c r="B607" t="s">
        <v>48</v>
      </c>
      <c r="C607" t="s">
        <v>49</v>
      </c>
      <c r="D607" s="5" t="s">
        <v>102</v>
      </c>
      <c r="E607" t="s">
        <v>103</v>
      </c>
      <c r="F607" s="6">
        <v>45166</v>
      </c>
      <c r="G607" s="7">
        <v>0.625</v>
      </c>
      <c r="H607" t="s">
        <v>90</v>
      </c>
      <c r="I607" s="5">
        <v>24</v>
      </c>
      <c r="J607" t="s">
        <v>92</v>
      </c>
      <c r="K607" s="6">
        <v>45168</v>
      </c>
      <c r="L607" s="23">
        <v>0.49652777777777801</v>
      </c>
      <c r="M607" s="5">
        <v>120162</v>
      </c>
      <c r="N607" s="5" t="s">
        <v>69</v>
      </c>
      <c r="O607" s="8" t="s">
        <v>56</v>
      </c>
      <c r="Q607" t="s">
        <v>200</v>
      </c>
      <c r="R607" s="5" t="s">
        <v>201</v>
      </c>
      <c r="S607" s="9">
        <v>10</v>
      </c>
      <c r="T607" s="9">
        <v>5</v>
      </c>
      <c r="U607" s="9">
        <v>5</v>
      </c>
      <c r="V607" s="10">
        <f>Table1[[#This Row],[MARGIN '[€']]]/Table1[[#This Row],[SALES '[€']]]</f>
        <v>0.5</v>
      </c>
      <c r="W607" s="5">
        <v>9215167011</v>
      </c>
      <c r="X607" s="5" t="s">
        <v>1325</v>
      </c>
      <c r="Y607" s="4">
        <v>441</v>
      </c>
      <c r="Z607" t="s">
        <v>1326</v>
      </c>
      <c r="AA607" t="s">
        <v>89</v>
      </c>
      <c r="AL607" t="s">
        <v>61</v>
      </c>
    </row>
    <row r="608" spans="1:38" x14ac:dyDescent="0.25">
      <c r="A608" s="4">
        <v>35</v>
      </c>
      <c r="B608" t="s">
        <v>48</v>
      </c>
      <c r="C608" t="s">
        <v>49</v>
      </c>
      <c r="D608" s="5" t="s">
        <v>50</v>
      </c>
      <c r="E608" t="s">
        <v>51</v>
      </c>
      <c r="F608" s="6">
        <v>45166</v>
      </c>
      <c r="G608" s="7" t="s">
        <v>1050</v>
      </c>
      <c r="H608" t="s">
        <v>90</v>
      </c>
      <c r="I608" s="5">
        <v>24</v>
      </c>
      <c r="J608" t="s">
        <v>92</v>
      </c>
      <c r="K608" s="6">
        <v>45168</v>
      </c>
      <c r="L608" s="23" t="s">
        <v>210</v>
      </c>
      <c r="M608" s="5">
        <v>120164</v>
      </c>
      <c r="N608" s="5" t="s">
        <v>69</v>
      </c>
      <c r="O608" s="8" t="s">
        <v>56</v>
      </c>
      <c r="S608" s="9">
        <v>10</v>
      </c>
      <c r="T608" s="9">
        <v>5</v>
      </c>
      <c r="U608" s="9">
        <v>5</v>
      </c>
      <c r="V608" s="10">
        <f>Table1[[#This Row],[MARGIN '[€']]]/Table1[[#This Row],[SALES '[€']]]</f>
        <v>0.5</v>
      </c>
      <c r="Y608" s="4">
        <v>441</v>
      </c>
      <c r="AL608" t="s">
        <v>214</v>
      </c>
    </row>
    <row r="609" spans="1:38" x14ac:dyDescent="0.25">
      <c r="A609" s="4">
        <v>35</v>
      </c>
      <c r="B609" t="s">
        <v>48</v>
      </c>
      <c r="C609" t="s">
        <v>49</v>
      </c>
      <c r="D609" s="5" t="s">
        <v>102</v>
      </c>
      <c r="E609" t="s">
        <v>103</v>
      </c>
      <c r="F609" s="6">
        <v>45166</v>
      </c>
      <c r="G609" s="7">
        <v>0.5625</v>
      </c>
      <c r="H609" t="s">
        <v>90</v>
      </c>
      <c r="I609" s="5">
        <v>23</v>
      </c>
      <c r="J609" t="s">
        <v>133</v>
      </c>
      <c r="K609" s="6">
        <v>45168</v>
      </c>
      <c r="L609" s="23">
        <v>0.41666666666666702</v>
      </c>
      <c r="M609" s="5">
        <v>120208</v>
      </c>
      <c r="N609" s="5" t="s">
        <v>55</v>
      </c>
      <c r="O609" s="8" t="s">
        <v>56</v>
      </c>
      <c r="Q609" t="s">
        <v>1327</v>
      </c>
      <c r="R609" s="5" t="s">
        <v>1328</v>
      </c>
      <c r="S609" s="9">
        <v>10</v>
      </c>
      <c r="T609" s="9">
        <v>5</v>
      </c>
      <c r="U609" s="9">
        <v>5</v>
      </c>
      <c r="V609" s="10">
        <f>Table1[[#This Row],[MARGIN '[€']]]/Table1[[#This Row],[SALES '[€']]]</f>
        <v>0.5</v>
      </c>
      <c r="W609" s="5">
        <v>9215166959</v>
      </c>
      <c r="X609" s="5" t="s">
        <v>1329</v>
      </c>
      <c r="Y609" s="4">
        <v>483</v>
      </c>
      <c r="AA609" t="s">
        <v>89</v>
      </c>
      <c r="AL609" t="s">
        <v>61</v>
      </c>
    </row>
    <row r="610" spans="1:38" x14ac:dyDescent="0.25">
      <c r="A610" s="4">
        <v>35</v>
      </c>
      <c r="B610" t="s">
        <v>137</v>
      </c>
      <c r="C610" t="s">
        <v>49</v>
      </c>
      <c r="D610" s="5" t="s">
        <v>50</v>
      </c>
      <c r="E610" t="s">
        <v>51</v>
      </c>
      <c r="F610" s="6">
        <v>45166</v>
      </c>
      <c r="G610" s="7">
        <v>0.65277777777777801</v>
      </c>
      <c r="H610" t="s">
        <v>49</v>
      </c>
      <c r="I610" s="5" t="s">
        <v>102</v>
      </c>
      <c r="J610" t="s">
        <v>103</v>
      </c>
      <c r="K610" s="6">
        <v>45166</v>
      </c>
      <c r="L610" s="23">
        <v>0.75</v>
      </c>
      <c r="M610" s="5" t="s">
        <v>1330</v>
      </c>
      <c r="N610" s="5" t="s">
        <v>69</v>
      </c>
      <c r="O610" s="8" t="s">
        <v>56</v>
      </c>
      <c r="Q610" t="s">
        <v>117</v>
      </c>
      <c r="R610" s="5" t="s">
        <v>118</v>
      </c>
      <c r="S610" s="9">
        <v>10</v>
      </c>
      <c r="T610" s="9">
        <v>5</v>
      </c>
      <c r="U610" s="9">
        <v>5</v>
      </c>
      <c r="V610" s="10">
        <f>Table1[[#This Row],[MARGIN '[€']]]/Table1[[#This Row],[SALES '[€']]]</f>
        <v>0.5</v>
      </c>
      <c r="W610" s="5">
        <v>9215166977</v>
      </c>
      <c r="X610" s="5" t="s">
        <v>1331</v>
      </c>
      <c r="Y610" s="4">
        <v>57</v>
      </c>
      <c r="AA610" t="s">
        <v>89</v>
      </c>
      <c r="AL610" t="s">
        <v>61</v>
      </c>
    </row>
    <row r="611" spans="1:38" x14ac:dyDescent="0.25">
      <c r="A611" s="4">
        <v>35</v>
      </c>
      <c r="B611" t="s">
        <v>137</v>
      </c>
      <c r="C611" t="s">
        <v>49</v>
      </c>
      <c r="D611" s="5" t="s">
        <v>50</v>
      </c>
      <c r="E611" t="s">
        <v>51</v>
      </c>
      <c r="F611" s="6">
        <v>45166</v>
      </c>
      <c r="G611" s="7">
        <v>0.33333333333333298</v>
      </c>
      <c r="H611" t="s">
        <v>49</v>
      </c>
      <c r="I611" s="5" t="s">
        <v>102</v>
      </c>
      <c r="J611" t="s">
        <v>103</v>
      </c>
      <c r="K611" s="6">
        <v>45166</v>
      </c>
      <c r="L611" s="23">
        <v>0.39583333333333298</v>
      </c>
      <c r="M611" s="5" t="s">
        <v>1332</v>
      </c>
      <c r="N611" s="5" t="s">
        <v>69</v>
      </c>
      <c r="O611" s="8" t="s">
        <v>56</v>
      </c>
      <c r="Q611" t="s">
        <v>265</v>
      </c>
      <c r="R611" s="5" t="s">
        <v>266</v>
      </c>
      <c r="S611" s="9">
        <v>10</v>
      </c>
      <c r="T611" s="9">
        <v>5</v>
      </c>
      <c r="U611" s="9">
        <v>5</v>
      </c>
      <c r="V611" s="10">
        <f>Table1[[#This Row],[MARGIN '[€']]]/Table1[[#This Row],[SALES '[€']]]</f>
        <v>0.5</v>
      </c>
      <c r="W611" s="5">
        <v>9215166984</v>
      </c>
      <c r="X611" s="5" t="s">
        <v>1333</v>
      </c>
      <c r="Y611" s="4">
        <v>57</v>
      </c>
      <c r="AA611" t="s">
        <v>89</v>
      </c>
      <c r="AL611" t="s">
        <v>61</v>
      </c>
    </row>
    <row r="612" spans="1:38" x14ac:dyDescent="0.25">
      <c r="A612" s="4">
        <v>35</v>
      </c>
      <c r="B612" t="s">
        <v>137</v>
      </c>
      <c r="C612" t="s">
        <v>49</v>
      </c>
      <c r="D612" s="5" t="s">
        <v>50</v>
      </c>
      <c r="E612" t="s">
        <v>51</v>
      </c>
      <c r="F612" s="6">
        <v>45166</v>
      </c>
      <c r="G612" s="7">
        <v>0.58333333333333304</v>
      </c>
      <c r="H612" t="s">
        <v>49</v>
      </c>
      <c r="I612" s="5" t="s">
        <v>102</v>
      </c>
      <c r="J612" t="s">
        <v>103</v>
      </c>
      <c r="K612" s="6">
        <v>45166</v>
      </c>
      <c r="L612" s="23">
        <v>0.64583333333333304</v>
      </c>
      <c r="M612" s="5" t="s">
        <v>1334</v>
      </c>
      <c r="N612" s="5" t="s">
        <v>69</v>
      </c>
      <c r="O612" s="8" t="s">
        <v>56</v>
      </c>
      <c r="Q612" t="s">
        <v>265</v>
      </c>
      <c r="R612" s="5" t="s">
        <v>266</v>
      </c>
      <c r="S612" s="9">
        <v>10</v>
      </c>
      <c r="T612" s="9">
        <v>5</v>
      </c>
      <c r="U612" s="9">
        <v>5</v>
      </c>
      <c r="V612" s="10">
        <f>Table1[[#This Row],[MARGIN '[€']]]/Table1[[#This Row],[SALES '[€']]]</f>
        <v>0.5</v>
      </c>
      <c r="W612" s="5">
        <v>9215166985</v>
      </c>
      <c r="X612" s="5" t="s">
        <v>1333</v>
      </c>
      <c r="Y612" s="4">
        <v>57</v>
      </c>
      <c r="AA612" t="s">
        <v>89</v>
      </c>
      <c r="AL612" t="s">
        <v>61</v>
      </c>
    </row>
    <row r="613" spans="1:38" x14ac:dyDescent="0.25">
      <c r="A613" s="4">
        <v>35</v>
      </c>
      <c r="B613" t="s">
        <v>137</v>
      </c>
      <c r="C613" t="s">
        <v>52</v>
      </c>
      <c r="D613" s="5" t="s">
        <v>53</v>
      </c>
      <c r="E613" t="s">
        <v>54</v>
      </c>
      <c r="F613" s="6">
        <v>45166</v>
      </c>
      <c r="G613" s="7">
        <v>0.16666666666666699</v>
      </c>
      <c r="H613" t="s">
        <v>49</v>
      </c>
      <c r="I613" s="5" t="s">
        <v>50</v>
      </c>
      <c r="J613" t="s">
        <v>51</v>
      </c>
      <c r="K613" s="6">
        <v>45166</v>
      </c>
      <c r="L613" s="23">
        <v>0.75</v>
      </c>
      <c r="M613" s="5" t="s">
        <v>1335</v>
      </c>
      <c r="N613" s="5" t="s">
        <v>55</v>
      </c>
      <c r="O613" s="8" t="s">
        <v>56</v>
      </c>
      <c r="Q613" t="s">
        <v>57</v>
      </c>
      <c r="R613" s="5" t="s">
        <v>58</v>
      </c>
      <c r="S613" s="9">
        <v>10</v>
      </c>
      <c r="T613" s="9">
        <v>5</v>
      </c>
      <c r="U613" s="9">
        <v>5</v>
      </c>
      <c r="V613" s="10">
        <f>Table1[[#This Row],[MARGIN '[€']]]/Table1[[#This Row],[SALES '[€']]]</f>
        <v>0.5</v>
      </c>
      <c r="W613" s="5">
        <v>9215167021</v>
      </c>
      <c r="X613" s="5" t="s">
        <v>1336</v>
      </c>
      <c r="Y613" s="4">
        <v>82</v>
      </c>
      <c r="AA613" t="s">
        <v>89</v>
      </c>
      <c r="AL613" t="s">
        <v>61</v>
      </c>
    </row>
    <row r="614" spans="1:38" x14ac:dyDescent="0.25">
      <c r="A614" s="4">
        <v>35</v>
      </c>
      <c r="B614" t="s">
        <v>137</v>
      </c>
      <c r="C614" t="s">
        <v>52</v>
      </c>
      <c r="D614" s="5" t="s">
        <v>53</v>
      </c>
      <c r="E614" t="s">
        <v>54</v>
      </c>
      <c r="F614" s="6">
        <v>45166</v>
      </c>
      <c r="G614" s="7">
        <v>0.16666666666666699</v>
      </c>
      <c r="H614" t="s">
        <v>49</v>
      </c>
      <c r="I614" s="5" t="s">
        <v>50</v>
      </c>
      <c r="J614" t="s">
        <v>51</v>
      </c>
      <c r="K614" s="6">
        <v>45166</v>
      </c>
      <c r="L614" s="23">
        <v>0.75</v>
      </c>
      <c r="M614" s="5" t="s">
        <v>1337</v>
      </c>
      <c r="N614" s="5" t="s">
        <v>55</v>
      </c>
      <c r="O614" s="8" t="s">
        <v>56</v>
      </c>
      <c r="Q614" t="s">
        <v>62</v>
      </c>
      <c r="R614" s="5" t="s">
        <v>58</v>
      </c>
      <c r="S614" s="9">
        <v>10</v>
      </c>
      <c r="T614" s="9">
        <v>5</v>
      </c>
      <c r="U614" s="9">
        <v>5</v>
      </c>
      <c r="V614" s="10">
        <f>Table1[[#This Row],[MARGIN '[€']]]/Table1[[#This Row],[SALES '[€']]]</f>
        <v>0.5</v>
      </c>
      <c r="W614" s="5">
        <v>9215167022</v>
      </c>
      <c r="X614" s="5" t="s">
        <v>1338</v>
      </c>
      <c r="Y614" s="4">
        <v>82</v>
      </c>
      <c r="AA614" t="s">
        <v>89</v>
      </c>
      <c r="AL614" t="s">
        <v>61</v>
      </c>
    </row>
    <row r="615" spans="1:38" x14ac:dyDescent="0.25">
      <c r="A615" s="4">
        <v>35</v>
      </c>
      <c r="B615" t="s">
        <v>137</v>
      </c>
      <c r="C615" t="s">
        <v>52</v>
      </c>
      <c r="D615" s="5" t="s">
        <v>53</v>
      </c>
      <c r="E615" t="s">
        <v>54</v>
      </c>
      <c r="F615" s="6">
        <v>45166</v>
      </c>
      <c r="G615" s="7">
        <v>0.16666666666666699</v>
      </c>
      <c r="H615" t="s">
        <v>49</v>
      </c>
      <c r="I615" s="5" t="s">
        <v>50</v>
      </c>
      <c r="J615" t="s">
        <v>51</v>
      </c>
      <c r="K615" s="6">
        <v>45166</v>
      </c>
      <c r="L615" s="23">
        <v>0.75</v>
      </c>
      <c r="M615" s="5" t="s">
        <v>1339</v>
      </c>
      <c r="N615" s="5" t="s">
        <v>55</v>
      </c>
      <c r="O615" s="8" t="s">
        <v>56</v>
      </c>
      <c r="Q615" t="s">
        <v>64</v>
      </c>
      <c r="R615" s="5" t="s">
        <v>58</v>
      </c>
      <c r="S615" s="9">
        <v>10</v>
      </c>
      <c r="T615" s="9">
        <v>5</v>
      </c>
      <c r="U615" s="9">
        <v>5</v>
      </c>
      <c r="V615" s="10">
        <f>Table1[[#This Row],[MARGIN '[€']]]/Table1[[#This Row],[SALES '[€']]]</f>
        <v>0.5</v>
      </c>
      <c r="W615" s="5">
        <v>9215167023</v>
      </c>
      <c r="X615" s="5" t="s">
        <v>1340</v>
      </c>
      <c r="Y615" s="4">
        <v>82</v>
      </c>
      <c r="AA615" t="s">
        <v>89</v>
      </c>
      <c r="AL615" t="s">
        <v>61</v>
      </c>
    </row>
    <row r="616" spans="1:38" x14ac:dyDescent="0.25">
      <c r="A616" s="4">
        <v>35</v>
      </c>
      <c r="B616" t="s">
        <v>476</v>
      </c>
      <c r="C616" t="s">
        <v>153</v>
      </c>
      <c r="D616" s="5" t="s">
        <v>477</v>
      </c>
      <c r="E616" t="s">
        <v>478</v>
      </c>
      <c r="F616" s="6">
        <v>45167</v>
      </c>
      <c r="G616" s="7">
        <v>0.79166666666666696</v>
      </c>
      <c r="H616" t="s">
        <v>49</v>
      </c>
      <c r="I616" s="5" t="s">
        <v>479</v>
      </c>
      <c r="J616" t="s">
        <v>480</v>
      </c>
      <c r="K616" s="6">
        <v>45173</v>
      </c>
      <c r="L616" s="23">
        <v>0.41666666666666702</v>
      </c>
      <c r="N616" s="5" t="s">
        <v>55</v>
      </c>
      <c r="O616" s="8" t="s">
        <v>56</v>
      </c>
      <c r="P616" t="s">
        <v>238</v>
      </c>
      <c r="Q616" t="s">
        <v>1341</v>
      </c>
      <c r="R616" s="5" t="s">
        <v>482</v>
      </c>
      <c r="S616" s="9">
        <v>10</v>
      </c>
      <c r="T616" s="9">
        <v>5</v>
      </c>
      <c r="U616" s="9">
        <v>5</v>
      </c>
      <c r="V616" s="10">
        <f>Table1[[#This Row],[MARGIN '[€']]]/Table1[[#This Row],[SALES '[€']]]</f>
        <v>0.5</v>
      </c>
      <c r="W616" s="5">
        <v>9215166964</v>
      </c>
      <c r="X616" s="5" t="s">
        <v>1342</v>
      </c>
      <c r="Y616" s="4">
        <v>1900</v>
      </c>
      <c r="AA616" t="s">
        <v>73</v>
      </c>
      <c r="AL616" t="s">
        <v>61</v>
      </c>
    </row>
    <row r="617" spans="1:38" x14ac:dyDescent="0.25">
      <c r="A617" s="4">
        <v>35</v>
      </c>
      <c r="B617" t="s">
        <v>48</v>
      </c>
      <c r="C617" t="s">
        <v>49</v>
      </c>
      <c r="D617" s="5" t="s">
        <v>50</v>
      </c>
      <c r="E617" t="s">
        <v>51</v>
      </c>
      <c r="F617" s="6">
        <v>45167</v>
      </c>
      <c r="G617" s="7">
        <v>0.95833333333333304</v>
      </c>
      <c r="H617" t="s">
        <v>90</v>
      </c>
      <c r="I617" s="5">
        <v>24</v>
      </c>
      <c r="J617" t="s">
        <v>92</v>
      </c>
      <c r="K617" s="6">
        <v>45168</v>
      </c>
      <c r="L617" s="23">
        <v>0.62152777777777801</v>
      </c>
      <c r="M617" s="5">
        <v>120165</v>
      </c>
      <c r="N617" s="5" t="s">
        <v>69</v>
      </c>
      <c r="O617" s="8" t="s">
        <v>56</v>
      </c>
      <c r="Q617" t="s">
        <v>412</v>
      </c>
      <c r="R617" s="5" t="s">
        <v>94</v>
      </c>
      <c r="S617" s="9">
        <v>10</v>
      </c>
      <c r="T617" s="9">
        <v>5</v>
      </c>
      <c r="U617" s="9">
        <v>5</v>
      </c>
      <c r="V617" s="10">
        <f>Table1[[#This Row],[MARGIN '[€']]]/Table1[[#This Row],[SALES '[€']]]</f>
        <v>0.5</v>
      </c>
      <c r="W617" s="5">
        <v>9215167019</v>
      </c>
      <c r="X617" s="5" t="s">
        <v>1343</v>
      </c>
      <c r="Y617" s="4">
        <v>441</v>
      </c>
      <c r="Z617" t="s">
        <v>1344</v>
      </c>
      <c r="AA617" t="s">
        <v>89</v>
      </c>
      <c r="AL617" t="s">
        <v>61</v>
      </c>
    </row>
    <row r="618" spans="1:38" x14ac:dyDescent="0.25">
      <c r="A618" s="4">
        <v>35</v>
      </c>
      <c r="B618" t="s">
        <v>48</v>
      </c>
      <c r="C618" t="s">
        <v>49</v>
      </c>
      <c r="D618" s="5" t="s">
        <v>50</v>
      </c>
      <c r="E618" t="s">
        <v>51</v>
      </c>
      <c r="F618" s="6">
        <v>45167</v>
      </c>
      <c r="G618" s="7">
        <v>0.88888888888888895</v>
      </c>
      <c r="H618" t="s">
        <v>90</v>
      </c>
      <c r="I618" s="5">
        <v>24</v>
      </c>
      <c r="J618" t="s">
        <v>92</v>
      </c>
      <c r="K618" s="6">
        <v>45168</v>
      </c>
      <c r="L618" s="23">
        <v>0.74652777777777801</v>
      </c>
      <c r="M618" s="5">
        <v>120167</v>
      </c>
      <c r="N618" s="5" t="s">
        <v>69</v>
      </c>
      <c r="O618" s="8" t="s">
        <v>56</v>
      </c>
      <c r="Q618" t="s">
        <v>311</v>
      </c>
      <c r="R618" s="5" t="s">
        <v>312</v>
      </c>
      <c r="S618" s="9">
        <v>10</v>
      </c>
      <c r="T618" s="9">
        <v>5</v>
      </c>
      <c r="U618" s="9">
        <v>5</v>
      </c>
      <c r="V618" s="10">
        <f>Table1[[#This Row],[MARGIN '[€']]]/Table1[[#This Row],[SALES '[€']]]</f>
        <v>0.5</v>
      </c>
      <c r="W618" s="5">
        <v>9215167020</v>
      </c>
      <c r="X618" s="5" t="s">
        <v>1345</v>
      </c>
      <c r="Y618" s="4">
        <v>441</v>
      </c>
      <c r="Z618" t="s">
        <v>1346</v>
      </c>
      <c r="AA618" t="s">
        <v>89</v>
      </c>
      <c r="AL618" t="s">
        <v>61</v>
      </c>
    </row>
    <row r="619" spans="1:38" x14ac:dyDescent="0.25">
      <c r="A619" s="4">
        <v>35</v>
      </c>
      <c r="B619" t="s">
        <v>48</v>
      </c>
      <c r="C619" t="s">
        <v>49</v>
      </c>
      <c r="D619" s="5" t="s">
        <v>50</v>
      </c>
      <c r="E619" t="s">
        <v>51</v>
      </c>
      <c r="F619" s="6">
        <v>45167</v>
      </c>
      <c r="G619" s="7">
        <v>0.66666666666666696</v>
      </c>
      <c r="H619" t="s">
        <v>90</v>
      </c>
      <c r="I619" s="5">
        <v>24</v>
      </c>
      <c r="J619" t="s">
        <v>92</v>
      </c>
      <c r="K619" s="6">
        <v>45168</v>
      </c>
      <c r="L619" s="23">
        <v>0.80902777777777801</v>
      </c>
      <c r="M619" s="5">
        <v>120168</v>
      </c>
      <c r="N619" s="5" t="s">
        <v>69</v>
      </c>
      <c r="O619" s="8" t="s">
        <v>56</v>
      </c>
      <c r="P619" t="s">
        <v>76</v>
      </c>
      <c r="Q619" t="s">
        <v>499</v>
      </c>
      <c r="R619" s="5" t="s">
        <v>500</v>
      </c>
      <c r="S619" s="9">
        <v>10</v>
      </c>
      <c r="T619" s="9">
        <v>5</v>
      </c>
      <c r="U619" s="9">
        <v>5</v>
      </c>
      <c r="V619" s="10">
        <f>Table1[[#This Row],[MARGIN '[€']]]/Table1[[#This Row],[SALES '[€']]]</f>
        <v>0.5</v>
      </c>
      <c r="W619" s="5" t="s">
        <v>1347</v>
      </c>
      <c r="X619" s="5" t="s">
        <v>1348</v>
      </c>
      <c r="Y619" s="4">
        <v>441</v>
      </c>
      <c r="Z619" t="s">
        <v>1349</v>
      </c>
      <c r="AA619" t="s">
        <v>73</v>
      </c>
      <c r="AL619" t="s">
        <v>61</v>
      </c>
    </row>
    <row r="620" spans="1:38" x14ac:dyDescent="0.25">
      <c r="A620" s="4">
        <v>35</v>
      </c>
      <c r="B620" t="s">
        <v>48</v>
      </c>
      <c r="C620" t="s">
        <v>49</v>
      </c>
      <c r="D620" s="5" t="s">
        <v>50</v>
      </c>
      <c r="E620" t="s">
        <v>51</v>
      </c>
      <c r="F620" s="6">
        <v>45167</v>
      </c>
      <c r="G620" s="7">
        <v>0.5</v>
      </c>
      <c r="H620" t="s">
        <v>90</v>
      </c>
      <c r="I620" s="5">
        <v>24</v>
      </c>
      <c r="J620" t="s">
        <v>92</v>
      </c>
      <c r="K620" s="6">
        <v>45168</v>
      </c>
      <c r="L620" s="23">
        <v>0.43402777777777801</v>
      </c>
      <c r="M620" s="5">
        <v>120169</v>
      </c>
      <c r="N620" s="5" t="s">
        <v>55</v>
      </c>
      <c r="O620" s="8" t="s">
        <v>56</v>
      </c>
      <c r="Q620" t="s">
        <v>1350</v>
      </c>
      <c r="R620" s="5" t="s">
        <v>1351</v>
      </c>
      <c r="S620" s="9">
        <v>10</v>
      </c>
      <c r="T620" s="9">
        <v>5</v>
      </c>
      <c r="U620" s="9">
        <v>5</v>
      </c>
      <c r="V620" s="10">
        <f>Table1[[#This Row],[MARGIN '[€']]]/Table1[[#This Row],[SALES '[€']]]</f>
        <v>0.5</v>
      </c>
      <c r="W620" s="5">
        <v>9215167049</v>
      </c>
      <c r="X620" s="5" t="s">
        <v>1352</v>
      </c>
      <c r="Y620" s="4">
        <v>441</v>
      </c>
      <c r="Z620" t="s">
        <v>1353</v>
      </c>
      <c r="AA620" t="s">
        <v>89</v>
      </c>
      <c r="AL620" t="s">
        <v>61</v>
      </c>
    </row>
    <row r="621" spans="1:38" x14ac:dyDescent="0.25">
      <c r="A621" s="4">
        <v>35</v>
      </c>
      <c r="B621" t="s">
        <v>152</v>
      </c>
      <c r="C621" t="s">
        <v>153</v>
      </c>
      <c r="D621" s="5" t="s">
        <v>1354</v>
      </c>
      <c r="E621" t="s">
        <v>1355</v>
      </c>
      <c r="F621" s="6">
        <v>45168</v>
      </c>
      <c r="G621" s="7">
        <v>0.5</v>
      </c>
      <c r="H621" t="s">
        <v>49</v>
      </c>
      <c r="I621" s="5" t="s">
        <v>156</v>
      </c>
      <c r="J621" t="s">
        <v>157</v>
      </c>
      <c r="K621" s="6">
        <v>45173</v>
      </c>
      <c r="L621" s="23">
        <v>0.5</v>
      </c>
      <c r="M621" s="5" t="s">
        <v>1356</v>
      </c>
      <c r="N621" s="5" t="s">
        <v>723</v>
      </c>
      <c r="O621" s="8" t="s">
        <v>159</v>
      </c>
      <c r="P621">
        <v>341</v>
      </c>
      <c r="Q621" t="s">
        <v>724</v>
      </c>
      <c r="R621" s="5" t="s">
        <v>161</v>
      </c>
      <c r="S621" s="9">
        <v>10</v>
      </c>
      <c r="T621" s="9">
        <v>5</v>
      </c>
      <c r="U621" s="9">
        <v>5</v>
      </c>
      <c r="V621" s="10">
        <f>Table1[[#This Row],[MARGIN '[€']]]/Table1[[#This Row],[SALES '[€']]]</f>
        <v>0.5</v>
      </c>
      <c r="W621" s="5">
        <v>9215166949</v>
      </c>
      <c r="X621" s="5" t="s">
        <v>1357</v>
      </c>
      <c r="Y621" s="4">
        <v>1912</v>
      </c>
      <c r="AA621" t="s">
        <v>163</v>
      </c>
      <c r="AD621">
        <v>1</v>
      </c>
      <c r="AE621" s="3">
        <v>0.5</v>
      </c>
      <c r="AL621" t="s">
        <v>61</v>
      </c>
    </row>
    <row r="622" spans="1:38" x14ac:dyDescent="0.25">
      <c r="A622" s="4">
        <v>35</v>
      </c>
      <c r="B622" t="s">
        <v>234</v>
      </c>
      <c r="C622" t="s">
        <v>49</v>
      </c>
      <c r="D622" s="5" t="s">
        <v>50</v>
      </c>
      <c r="E622" t="s">
        <v>235</v>
      </c>
      <c r="F622" s="6">
        <v>45168</v>
      </c>
      <c r="G622" s="7">
        <v>0.375</v>
      </c>
      <c r="H622" t="s">
        <v>726</v>
      </c>
      <c r="I622" s="5" t="s">
        <v>727</v>
      </c>
      <c r="J622" t="s">
        <v>728</v>
      </c>
      <c r="K622" s="6">
        <v>45170</v>
      </c>
      <c r="L622" s="23">
        <v>0.5</v>
      </c>
      <c r="M622" s="5">
        <v>3682605068479</v>
      </c>
      <c r="N622" s="5" t="s">
        <v>723</v>
      </c>
      <c r="O622" s="8" t="s">
        <v>450</v>
      </c>
      <c r="P622">
        <v>650</v>
      </c>
      <c r="Q622" t="s">
        <v>1358</v>
      </c>
      <c r="R622" s="5" t="s">
        <v>730</v>
      </c>
      <c r="S622" s="9">
        <v>10</v>
      </c>
      <c r="T622" s="9">
        <v>5</v>
      </c>
      <c r="U622" s="9">
        <v>5</v>
      </c>
      <c r="V622" s="10">
        <f>Table1[[#This Row],[MARGIN '[€']]]/Table1[[#This Row],[SALES '[€']]]</f>
        <v>0.5</v>
      </c>
      <c r="W622" s="5" t="s">
        <v>1359</v>
      </c>
      <c r="X622" s="5" t="s">
        <v>1360</v>
      </c>
      <c r="Y622" s="4">
        <v>2007</v>
      </c>
      <c r="AA622" t="s">
        <v>191</v>
      </c>
      <c r="AD622">
        <v>6</v>
      </c>
      <c r="AE622" s="3">
        <v>4</v>
      </c>
      <c r="AL622" t="s">
        <v>61</v>
      </c>
    </row>
    <row r="623" spans="1:38" x14ac:dyDescent="0.25">
      <c r="A623" s="4">
        <v>35</v>
      </c>
      <c r="B623" t="s">
        <v>333</v>
      </c>
      <c r="C623" t="s">
        <v>49</v>
      </c>
      <c r="D623" s="5" t="s">
        <v>334</v>
      </c>
      <c r="E623" t="s">
        <v>335</v>
      </c>
      <c r="F623" s="6">
        <v>45168</v>
      </c>
      <c r="G623" s="7">
        <v>0.79166666666666696</v>
      </c>
      <c r="H623" t="s">
        <v>138</v>
      </c>
      <c r="I623" s="5" t="s">
        <v>1265</v>
      </c>
      <c r="J623" t="s">
        <v>571</v>
      </c>
      <c r="K623" s="6">
        <v>45173</v>
      </c>
      <c r="L623" s="23">
        <v>0.625</v>
      </c>
      <c r="M623" s="5">
        <v>1002949315</v>
      </c>
      <c r="N623" s="5" t="s">
        <v>337</v>
      </c>
      <c r="O623" s="8" t="s">
        <v>338</v>
      </c>
      <c r="P623" t="s">
        <v>393</v>
      </c>
      <c r="Q623" t="s">
        <v>1361</v>
      </c>
      <c r="R623" s="5" t="s">
        <v>145</v>
      </c>
      <c r="S623" s="9">
        <v>10</v>
      </c>
      <c r="T623" s="9">
        <v>5</v>
      </c>
      <c r="U623" s="9">
        <v>5</v>
      </c>
      <c r="V623" s="10">
        <f>Table1[[#This Row],[MARGIN '[€']]]/Table1[[#This Row],[SALES '[€']]]</f>
        <v>0.5</v>
      </c>
      <c r="W623" s="5">
        <v>9215166913</v>
      </c>
      <c r="X623" s="5" t="s">
        <v>1362</v>
      </c>
      <c r="Y623" s="4">
        <v>1775</v>
      </c>
      <c r="AA623" t="s">
        <v>342</v>
      </c>
      <c r="AL623" t="s">
        <v>61</v>
      </c>
    </row>
    <row r="624" spans="1:38" x14ac:dyDescent="0.25">
      <c r="A624" s="4">
        <v>35</v>
      </c>
      <c r="B624" t="s">
        <v>234</v>
      </c>
      <c r="C624" t="s">
        <v>49</v>
      </c>
      <c r="D624" s="5" t="s">
        <v>50</v>
      </c>
      <c r="E624" t="s">
        <v>235</v>
      </c>
      <c r="F624" s="6">
        <v>45168</v>
      </c>
      <c r="G624" s="7">
        <v>0.625</v>
      </c>
      <c r="H624" t="s">
        <v>600</v>
      </c>
      <c r="I624" s="5" t="s">
        <v>601</v>
      </c>
      <c r="J624" t="s">
        <v>602</v>
      </c>
      <c r="K624" s="6">
        <v>45169</v>
      </c>
      <c r="L624" s="23">
        <v>0.375</v>
      </c>
      <c r="N624" s="5" t="s">
        <v>142</v>
      </c>
      <c r="O624" s="8" t="s">
        <v>450</v>
      </c>
      <c r="Q624" t="s">
        <v>603</v>
      </c>
      <c r="R624" s="5" t="s">
        <v>604</v>
      </c>
      <c r="S624" s="9">
        <v>10</v>
      </c>
      <c r="T624" s="9">
        <v>5</v>
      </c>
      <c r="U624" s="9">
        <v>5</v>
      </c>
      <c r="V624" s="10">
        <f>Table1[[#This Row],[MARGIN '[€']]]/Table1[[#This Row],[SALES '[€']]]</f>
        <v>0.5</v>
      </c>
      <c r="W624" s="5" t="s">
        <v>1363</v>
      </c>
      <c r="X624" s="5" t="s">
        <v>1364</v>
      </c>
      <c r="Y624" s="4">
        <v>733</v>
      </c>
      <c r="AA624" t="s">
        <v>163</v>
      </c>
      <c r="AL624" t="s">
        <v>61</v>
      </c>
    </row>
    <row r="625" spans="1:38" x14ac:dyDescent="0.25">
      <c r="A625" s="4">
        <v>35</v>
      </c>
      <c r="B625" t="s">
        <v>234</v>
      </c>
      <c r="C625" t="s">
        <v>49</v>
      </c>
      <c r="D625" s="5" t="s">
        <v>50</v>
      </c>
      <c r="E625" t="s">
        <v>235</v>
      </c>
      <c r="F625" s="6">
        <v>45168</v>
      </c>
      <c r="G625" s="7">
        <v>0.91666666666666696</v>
      </c>
      <c r="H625" t="s">
        <v>216</v>
      </c>
      <c r="I625" s="5" t="s">
        <v>236</v>
      </c>
      <c r="J625" t="s">
        <v>237</v>
      </c>
      <c r="K625" s="6">
        <v>45169</v>
      </c>
      <c r="L625" s="23">
        <v>0.375</v>
      </c>
      <c r="N625" s="5" t="s">
        <v>55</v>
      </c>
      <c r="O625" s="8" t="s">
        <v>450</v>
      </c>
      <c r="Q625" t="s">
        <v>1365</v>
      </c>
      <c r="R625" s="5" t="s">
        <v>452</v>
      </c>
      <c r="S625" s="9">
        <v>10</v>
      </c>
      <c r="T625" s="9">
        <v>5</v>
      </c>
      <c r="U625" s="9">
        <v>5</v>
      </c>
      <c r="V625" s="10">
        <f>Table1[[#This Row],[MARGIN '[€']]]/Table1[[#This Row],[SALES '[€']]]</f>
        <v>0.5</v>
      </c>
      <c r="W625" s="5" t="s">
        <v>1366</v>
      </c>
      <c r="X625" s="5" t="s">
        <v>1367</v>
      </c>
      <c r="Y625" s="4">
        <v>656</v>
      </c>
      <c r="AA625" t="s">
        <v>163</v>
      </c>
      <c r="AL625" t="s">
        <v>61</v>
      </c>
    </row>
    <row r="626" spans="1:38" x14ac:dyDescent="0.25">
      <c r="A626" s="4">
        <v>35</v>
      </c>
      <c r="B626" t="s">
        <v>48</v>
      </c>
      <c r="C626" t="s">
        <v>49</v>
      </c>
      <c r="D626" s="5" t="s">
        <v>50</v>
      </c>
      <c r="E626" t="s">
        <v>51</v>
      </c>
      <c r="F626" s="6">
        <v>45168</v>
      </c>
      <c r="G626" s="7">
        <v>0.125</v>
      </c>
      <c r="H626" t="s">
        <v>66</v>
      </c>
      <c r="I626" s="5">
        <v>32</v>
      </c>
      <c r="J626" t="s">
        <v>68</v>
      </c>
      <c r="K626" s="6">
        <v>45168</v>
      </c>
      <c r="L626" s="3">
        <v>0.41666666666666702</v>
      </c>
      <c r="M626" s="5">
        <v>119934</v>
      </c>
      <c r="N626" s="5" t="s">
        <v>69</v>
      </c>
      <c r="O626" s="8" t="s">
        <v>56</v>
      </c>
      <c r="Q626" t="s">
        <v>1368</v>
      </c>
      <c r="R626" s="5" t="s">
        <v>177</v>
      </c>
      <c r="S626" s="9">
        <v>10</v>
      </c>
      <c r="T626" s="9">
        <v>5</v>
      </c>
      <c r="U626" s="9">
        <v>5</v>
      </c>
      <c r="V626" s="10">
        <f>Table1[[#This Row],[MARGIN '[€']]]/Table1[[#This Row],[SALES '[€']]]</f>
        <v>0.5</v>
      </c>
      <c r="W626" s="5">
        <v>9215167043</v>
      </c>
      <c r="X626" s="5" t="s">
        <v>1369</v>
      </c>
      <c r="Y626" s="4">
        <v>316</v>
      </c>
      <c r="AA626" t="s">
        <v>73</v>
      </c>
      <c r="AL626" t="s">
        <v>61</v>
      </c>
    </row>
    <row r="627" spans="1:38" x14ac:dyDescent="0.25">
      <c r="A627" s="4">
        <v>35</v>
      </c>
      <c r="B627" t="s">
        <v>48</v>
      </c>
      <c r="C627" t="s">
        <v>49</v>
      </c>
      <c r="D627" s="5" t="s">
        <v>50</v>
      </c>
      <c r="E627" t="s">
        <v>51</v>
      </c>
      <c r="F627" s="6">
        <v>45168</v>
      </c>
      <c r="G627" s="7">
        <v>0.75</v>
      </c>
      <c r="H627" t="s">
        <v>66</v>
      </c>
      <c r="I627" s="5">
        <v>32</v>
      </c>
      <c r="J627" t="s">
        <v>68</v>
      </c>
      <c r="K627" s="6">
        <v>45170</v>
      </c>
      <c r="L627" s="23">
        <v>0.91666666666666696</v>
      </c>
      <c r="M627" s="5">
        <v>120239</v>
      </c>
      <c r="N627" s="5" t="s">
        <v>69</v>
      </c>
      <c r="O627" s="8" t="s">
        <v>56</v>
      </c>
      <c r="Q627" t="s">
        <v>185</v>
      </c>
      <c r="R627" s="5" t="s">
        <v>71</v>
      </c>
      <c r="S627" s="9">
        <v>10</v>
      </c>
      <c r="T627" s="9">
        <v>5</v>
      </c>
      <c r="U627" s="9">
        <v>5</v>
      </c>
      <c r="V627" s="10">
        <f>Table1[[#This Row],[MARGIN '[€']]]/Table1[[#This Row],[SALES '[€']]]</f>
        <v>0.5</v>
      </c>
      <c r="W627" s="5">
        <v>9215167082</v>
      </c>
      <c r="X627" s="5" t="s">
        <v>1370</v>
      </c>
      <c r="Y627" s="4">
        <v>316</v>
      </c>
      <c r="AA627" t="s">
        <v>73</v>
      </c>
      <c r="AL627" t="s">
        <v>61</v>
      </c>
    </row>
    <row r="628" spans="1:38" x14ac:dyDescent="0.25">
      <c r="A628" s="4">
        <v>35</v>
      </c>
      <c r="B628" t="s">
        <v>48</v>
      </c>
      <c r="C628" t="s">
        <v>49</v>
      </c>
      <c r="D628" s="5" t="s">
        <v>50</v>
      </c>
      <c r="E628" t="s">
        <v>51</v>
      </c>
      <c r="F628" s="6">
        <v>45168</v>
      </c>
      <c r="G628" s="7">
        <v>0.70833333333333304</v>
      </c>
      <c r="H628" t="s">
        <v>66</v>
      </c>
      <c r="I628" s="5">
        <v>32</v>
      </c>
      <c r="J628" t="s">
        <v>68</v>
      </c>
      <c r="K628" s="6">
        <v>45171</v>
      </c>
      <c r="L628" s="23">
        <v>8.3333333333333301E-2</v>
      </c>
      <c r="M628" s="5">
        <v>120240</v>
      </c>
      <c r="N628" s="5" t="s">
        <v>69</v>
      </c>
      <c r="O628" s="8" t="s">
        <v>56</v>
      </c>
      <c r="Q628" t="s">
        <v>70</v>
      </c>
      <c r="R628" s="5" t="s">
        <v>71</v>
      </c>
      <c r="S628" s="9">
        <v>10</v>
      </c>
      <c r="T628" s="9">
        <v>5</v>
      </c>
      <c r="U628" s="9">
        <v>5</v>
      </c>
      <c r="V628" s="10">
        <f>Table1[[#This Row],[MARGIN '[€']]]/Table1[[#This Row],[SALES '[€']]]</f>
        <v>0.5</v>
      </c>
      <c r="W628" s="5">
        <v>9215167083</v>
      </c>
      <c r="X628" s="5" t="s">
        <v>1371</v>
      </c>
      <c r="Y628" s="4">
        <v>316</v>
      </c>
      <c r="Z628" t="s">
        <v>1372</v>
      </c>
      <c r="AA628" t="s">
        <v>73</v>
      </c>
      <c r="AL628" t="s">
        <v>61</v>
      </c>
    </row>
    <row r="629" spans="1:38" x14ac:dyDescent="0.25">
      <c r="A629" s="4">
        <v>35</v>
      </c>
      <c r="B629" t="s">
        <v>48</v>
      </c>
      <c r="C629" t="s">
        <v>49</v>
      </c>
      <c r="D629" s="5" t="s">
        <v>50</v>
      </c>
      <c r="E629" t="s">
        <v>51</v>
      </c>
      <c r="F629" s="6">
        <v>45168</v>
      </c>
      <c r="G629" s="7">
        <v>0.68055555555555503</v>
      </c>
      <c r="H629" t="s">
        <v>66</v>
      </c>
      <c r="I629" s="5">
        <v>32</v>
      </c>
      <c r="J629" t="s">
        <v>68</v>
      </c>
      <c r="K629" s="6">
        <v>45171</v>
      </c>
      <c r="L629" s="23">
        <v>0.25</v>
      </c>
      <c r="M629" s="5">
        <v>120241</v>
      </c>
      <c r="N629" s="5" t="s">
        <v>69</v>
      </c>
      <c r="O629" s="8" t="s">
        <v>56</v>
      </c>
      <c r="P629" t="s">
        <v>76</v>
      </c>
      <c r="Q629" t="s">
        <v>77</v>
      </c>
      <c r="R629" s="5" t="s">
        <v>71</v>
      </c>
      <c r="S629" s="9">
        <v>10</v>
      </c>
      <c r="T629" s="9">
        <v>5</v>
      </c>
      <c r="U629" s="9">
        <v>5</v>
      </c>
      <c r="V629" s="10">
        <f>Table1[[#This Row],[MARGIN '[€']]]/Table1[[#This Row],[SALES '[€']]]</f>
        <v>0.5</v>
      </c>
      <c r="W629" s="5" t="s">
        <v>1373</v>
      </c>
      <c r="X629" s="5" t="s">
        <v>1374</v>
      </c>
      <c r="Y629" s="4">
        <v>316</v>
      </c>
      <c r="Z629" t="s">
        <v>1372</v>
      </c>
      <c r="AA629" t="s">
        <v>73</v>
      </c>
      <c r="AL629" t="s">
        <v>61</v>
      </c>
    </row>
    <row r="630" spans="1:38" x14ac:dyDescent="0.25">
      <c r="A630" s="4">
        <v>35</v>
      </c>
      <c r="B630" t="s">
        <v>48</v>
      </c>
      <c r="C630" t="s">
        <v>49</v>
      </c>
      <c r="D630" s="5" t="s">
        <v>102</v>
      </c>
      <c r="E630" t="s">
        <v>103</v>
      </c>
      <c r="F630" s="6">
        <v>45168</v>
      </c>
      <c r="G630" s="7">
        <v>0.25</v>
      </c>
      <c r="H630" t="s">
        <v>90</v>
      </c>
      <c r="I630" s="5">
        <v>24</v>
      </c>
      <c r="J630" t="s">
        <v>92</v>
      </c>
      <c r="K630" s="6">
        <v>45168</v>
      </c>
      <c r="L630" s="23">
        <v>0.55902777777777801</v>
      </c>
      <c r="M630" s="5">
        <v>120163</v>
      </c>
      <c r="N630" s="5" t="s">
        <v>69</v>
      </c>
      <c r="O630" s="8" t="s">
        <v>56</v>
      </c>
      <c r="Q630" t="s">
        <v>526</v>
      </c>
      <c r="R630" s="5" t="s">
        <v>98</v>
      </c>
      <c r="S630" s="9">
        <v>10</v>
      </c>
      <c r="T630" s="9">
        <v>5</v>
      </c>
      <c r="U630" s="9">
        <v>5</v>
      </c>
      <c r="V630" s="10">
        <f>Table1[[#This Row],[MARGIN '[€']]]/Table1[[#This Row],[SALES '[€']]]</f>
        <v>0.5</v>
      </c>
      <c r="W630" s="5">
        <v>9215167025</v>
      </c>
      <c r="X630" s="5" t="s">
        <v>1375</v>
      </c>
      <c r="Y630" s="4">
        <v>441</v>
      </c>
      <c r="Z630" t="s">
        <v>1376</v>
      </c>
      <c r="AA630" t="s">
        <v>73</v>
      </c>
      <c r="AL630" t="s">
        <v>61</v>
      </c>
    </row>
    <row r="631" spans="1:38" x14ac:dyDescent="0.25">
      <c r="A631" s="4">
        <v>35</v>
      </c>
      <c r="B631" t="s">
        <v>48</v>
      </c>
      <c r="C631" t="s">
        <v>49</v>
      </c>
      <c r="D631" s="5" t="s">
        <v>50</v>
      </c>
      <c r="E631" t="s">
        <v>51</v>
      </c>
      <c r="F631" s="6">
        <v>45168</v>
      </c>
      <c r="G631" s="7">
        <v>0.27777777777777801</v>
      </c>
      <c r="H631" t="s">
        <v>90</v>
      </c>
      <c r="I631" s="5">
        <v>24</v>
      </c>
      <c r="J631" t="s">
        <v>92</v>
      </c>
      <c r="K631" s="6">
        <v>45168</v>
      </c>
      <c r="L631" s="23">
        <v>0.68402777777777801</v>
      </c>
      <c r="M631" s="5">
        <v>120166</v>
      </c>
      <c r="N631" s="5" t="s">
        <v>69</v>
      </c>
      <c r="O631" s="8" t="s">
        <v>56</v>
      </c>
      <c r="Q631" t="s">
        <v>323</v>
      </c>
      <c r="R631" s="5" t="s">
        <v>98</v>
      </c>
      <c r="S631" s="9">
        <v>10</v>
      </c>
      <c r="T631" s="9">
        <v>5</v>
      </c>
      <c r="U631" s="9">
        <v>5</v>
      </c>
      <c r="V631" s="10">
        <f>Table1[[#This Row],[MARGIN '[€']]]/Table1[[#This Row],[SALES '[€']]]</f>
        <v>0.5</v>
      </c>
      <c r="W631" s="5">
        <v>9215167026</v>
      </c>
      <c r="X631" s="5" t="s">
        <v>1377</v>
      </c>
      <c r="Y631" s="4">
        <v>441</v>
      </c>
      <c r="Z631" t="s">
        <v>1378</v>
      </c>
      <c r="AA631" t="s">
        <v>73</v>
      </c>
      <c r="AL631" t="s">
        <v>61</v>
      </c>
    </row>
    <row r="632" spans="1:38" x14ac:dyDescent="0.25">
      <c r="A632" s="4">
        <v>35</v>
      </c>
      <c r="B632" t="s">
        <v>48</v>
      </c>
      <c r="C632" t="s">
        <v>49</v>
      </c>
      <c r="D632" s="5" t="s">
        <v>50</v>
      </c>
      <c r="E632" t="s">
        <v>51</v>
      </c>
      <c r="F632" s="6">
        <v>45168</v>
      </c>
      <c r="G632" s="7">
        <v>0.66666666666666696</v>
      </c>
      <c r="H632" t="s">
        <v>90</v>
      </c>
      <c r="I632" s="5">
        <v>24</v>
      </c>
      <c r="J632" t="s">
        <v>92</v>
      </c>
      <c r="K632" s="6">
        <v>45169</v>
      </c>
      <c r="L632" s="23">
        <v>0.32986111111111099</v>
      </c>
      <c r="M632" s="5">
        <v>120170</v>
      </c>
      <c r="N632" s="5" t="s">
        <v>69</v>
      </c>
      <c r="O632" s="8" t="s">
        <v>56</v>
      </c>
      <c r="P632" t="s">
        <v>76</v>
      </c>
      <c r="Q632" t="s">
        <v>117</v>
      </c>
      <c r="R632" s="5" t="s">
        <v>118</v>
      </c>
      <c r="S632" s="9">
        <v>10</v>
      </c>
      <c r="T632" s="9">
        <v>5</v>
      </c>
      <c r="U632" s="9">
        <v>5</v>
      </c>
      <c r="V632" s="10">
        <f>Table1[[#This Row],[MARGIN '[€']]]/Table1[[#This Row],[SALES '[€']]]</f>
        <v>0.5</v>
      </c>
      <c r="W632" s="5" t="s">
        <v>1379</v>
      </c>
      <c r="X632" s="5" t="s">
        <v>1380</v>
      </c>
      <c r="Y632" s="4">
        <v>441</v>
      </c>
      <c r="Z632" t="s">
        <v>1381</v>
      </c>
      <c r="AA632" t="s">
        <v>73</v>
      </c>
      <c r="AL632" t="s">
        <v>61</v>
      </c>
    </row>
    <row r="633" spans="1:38" x14ac:dyDescent="0.25">
      <c r="A633" s="4">
        <v>35</v>
      </c>
      <c r="B633" t="s">
        <v>48</v>
      </c>
      <c r="C633" t="s">
        <v>49</v>
      </c>
      <c r="D633" s="5" t="s">
        <v>102</v>
      </c>
      <c r="E633" t="s">
        <v>103</v>
      </c>
      <c r="F633" s="6">
        <v>45168</v>
      </c>
      <c r="G633" s="7">
        <v>0.90625</v>
      </c>
      <c r="H633" t="s">
        <v>90</v>
      </c>
      <c r="I633" s="5">
        <v>24</v>
      </c>
      <c r="J633" t="s">
        <v>92</v>
      </c>
      <c r="K633" s="6">
        <v>45169</v>
      </c>
      <c r="L633" s="23">
        <v>0.24652777777777801</v>
      </c>
      <c r="M633" s="5">
        <v>120173</v>
      </c>
      <c r="N633" s="5" t="s">
        <v>69</v>
      </c>
      <c r="O633" s="8" t="s">
        <v>56</v>
      </c>
      <c r="Q633" t="s">
        <v>547</v>
      </c>
      <c r="R633" s="5" t="s">
        <v>98</v>
      </c>
      <c r="S633" s="9">
        <v>10</v>
      </c>
      <c r="T633" s="9">
        <v>5</v>
      </c>
      <c r="U633" s="9">
        <v>5</v>
      </c>
      <c r="V633" s="10">
        <f>Table1[[#This Row],[MARGIN '[€']]]/Table1[[#This Row],[SALES '[€']]]</f>
        <v>0.5</v>
      </c>
      <c r="W633" s="5">
        <v>9215167047</v>
      </c>
      <c r="X633" s="5" t="s">
        <v>1382</v>
      </c>
      <c r="Y633" s="4">
        <v>441</v>
      </c>
      <c r="Z633" t="s">
        <v>1383</v>
      </c>
      <c r="AA633" t="s">
        <v>73</v>
      </c>
      <c r="AL633" t="s">
        <v>61</v>
      </c>
    </row>
    <row r="634" spans="1:38" x14ac:dyDescent="0.25">
      <c r="A634" s="4">
        <v>35</v>
      </c>
      <c r="B634" t="s">
        <v>48</v>
      </c>
      <c r="C634" t="s">
        <v>49</v>
      </c>
      <c r="D634" s="5" t="s">
        <v>50</v>
      </c>
      <c r="E634" t="s">
        <v>51</v>
      </c>
      <c r="F634" s="6">
        <v>45168</v>
      </c>
      <c r="G634" s="7">
        <v>0.56944444444444398</v>
      </c>
      <c r="H634" t="s">
        <v>90</v>
      </c>
      <c r="I634" s="5">
        <v>24</v>
      </c>
      <c r="J634" t="s">
        <v>92</v>
      </c>
      <c r="K634" s="6">
        <v>45169</v>
      </c>
      <c r="L634" s="23">
        <v>0.62152777777777801</v>
      </c>
      <c r="M634" s="5">
        <v>120174</v>
      </c>
      <c r="N634" s="5" t="s">
        <v>69</v>
      </c>
      <c r="O634" s="8" t="s">
        <v>56</v>
      </c>
      <c r="Q634" t="s">
        <v>772</v>
      </c>
      <c r="R634" s="5" t="s">
        <v>356</v>
      </c>
      <c r="S634" s="9">
        <v>10</v>
      </c>
      <c r="T634" s="9">
        <v>5</v>
      </c>
      <c r="U634" s="9">
        <v>5</v>
      </c>
      <c r="V634" s="10">
        <f>Table1[[#This Row],[MARGIN '[€']]]/Table1[[#This Row],[SALES '[€']]]</f>
        <v>0.5</v>
      </c>
      <c r="W634" s="5">
        <v>9215167057</v>
      </c>
      <c r="X634" s="5" t="s">
        <v>1384</v>
      </c>
      <c r="Y634" s="4">
        <v>441</v>
      </c>
      <c r="Z634" t="s">
        <v>1385</v>
      </c>
      <c r="AA634" t="s">
        <v>73</v>
      </c>
      <c r="AL634" t="s">
        <v>61</v>
      </c>
    </row>
    <row r="635" spans="1:38" x14ac:dyDescent="0.25">
      <c r="A635" s="4">
        <v>35</v>
      </c>
      <c r="B635" t="s">
        <v>48</v>
      </c>
      <c r="C635" t="s">
        <v>49</v>
      </c>
      <c r="D635" s="5" t="s">
        <v>50</v>
      </c>
      <c r="E635" t="s">
        <v>51</v>
      </c>
      <c r="F635" s="6">
        <v>45168</v>
      </c>
      <c r="G635" s="7">
        <v>0.81944444444444398</v>
      </c>
      <c r="H635" t="s">
        <v>90</v>
      </c>
      <c r="I635" s="5">
        <v>24</v>
      </c>
      <c r="J635" t="s">
        <v>92</v>
      </c>
      <c r="K635" s="6">
        <v>45169</v>
      </c>
      <c r="L635" s="23">
        <v>0.80208333333333304</v>
      </c>
      <c r="M635" s="5">
        <v>120176</v>
      </c>
      <c r="N635" s="5" t="s">
        <v>69</v>
      </c>
      <c r="O635" s="8" t="s">
        <v>56</v>
      </c>
      <c r="P635" t="s">
        <v>76</v>
      </c>
      <c r="Q635" t="s">
        <v>311</v>
      </c>
      <c r="R635" s="5" t="s">
        <v>312</v>
      </c>
      <c r="S635" s="9">
        <v>10</v>
      </c>
      <c r="T635" s="9">
        <v>5</v>
      </c>
      <c r="U635" s="9">
        <v>5</v>
      </c>
      <c r="V635" s="10">
        <f>Table1[[#This Row],[MARGIN '[€']]]/Table1[[#This Row],[SALES '[€']]]</f>
        <v>0.5</v>
      </c>
      <c r="W635" s="5" t="s">
        <v>1386</v>
      </c>
      <c r="X635" s="5" t="s">
        <v>1387</v>
      </c>
      <c r="Y635" s="4">
        <v>441</v>
      </c>
      <c r="Z635" t="s">
        <v>1388</v>
      </c>
      <c r="AA635" t="s">
        <v>73</v>
      </c>
      <c r="AL635" t="s">
        <v>61</v>
      </c>
    </row>
    <row r="636" spans="1:38" x14ac:dyDescent="0.25">
      <c r="A636" s="4">
        <v>35</v>
      </c>
      <c r="B636" t="s">
        <v>48</v>
      </c>
      <c r="C636" t="s">
        <v>49</v>
      </c>
      <c r="D636" s="5" t="s">
        <v>50</v>
      </c>
      <c r="E636" t="s">
        <v>51</v>
      </c>
      <c r="F636" s="6">
        <v>45168</v>
      </c>
      <c r="G636" s="7">
        <v>0.95833333333333304</v>
      </c>
      <c r="H636" t="s">
        <v>90</v>
      </c>
      <c r="I636" s="5">
        <v>24</v>
      </c>
      <c r="J636" t="s">
        <v>92</v>
      </c>
      <c r="K636" s="6">
        <v>45169</v>
      </c>
      <c r="L636" s="23">
        <v>0.37152777777777801</v>
      </c>
      <c r="M636" s="5">
        <v>120178</v>
      </c>
      <c r="N636" s="5" t="s">
        <v>69</v>
      </c>
      <c r="O636" s="8" t="s">
        <v>56</v>
      </c>
      <c r="Q636" t="s">
        <v>545</v>
      </c>
      <c r="R636" s="5" t="s">
        <v>94</v>
      </c>
      <c r="S636" s="9">
        <v>10</v>
      </c>
      <c r="T636" s="9">
        <v>5</v>
      </c>
      <c r="U636" s="9">
        <v>5</v>
      </c>
      <c r="V636" s="10">
        <f>Table1[[#This Row],[MARGIN '[€']]]/Table1[[#This Row],[SALES '[€']]]</f>
        <v>0.5</v>
      </c>
      <c r="W636" s="5">
        <v>9215167058</v>
      </c>
      <c r="X636" s="5" t="s">
        <v>1389</v>
      </c>
      <c r="Y636" s="4">
        <v>441</v>
      </c>
      <c r="Z636" t="s">
        <v>1390</v>
      </c>
      <c r="AA636" t="s">
        <v>89</v>
      </c>
      <c r="AL636" t="s">
        <v>61</v>
      </c>
    </row>
    <row r="637" spans="1:38" x14ac:dyDescent="0.25">
      <c r="A637" s="4">
        <v>35</v>
      </c>
      <c r="B637" t="s">
        <v>48</v>
      </c>
      <c r="C637" t="s">
        <v>49</v>
      </c>
      <c r="D637" s="5" t="s">
        <v>50</v>
      </c>
      <c r="E637" t="s">
        <v>51</v>
      </c>
      <c r="F637" s="6">
        <v>45168</v>
      </c>
      <c r="G637" s="7">
        <v>0.41666666666666702</v>
      </c>
      <c r="H637" t="s">
        <v>90</v>
      </c>
      <c r="I637" s="5">
        <v>24</v>
      </c>
      <c r="J637" t="s">
        <v>92</v>
      </c>
      <c r="K637" s="6">
        <v>45169</v>
      </c>
      <c r="L637" s="23">
        <v>0.41666666666666702</v>
      </c>
      <c r="M637" s="5">
        <v>120179</v>
      </c>
      <c r="N637" s="5" t="s">
        <v>55</v>
      </c>
      <c r="O637" s="8" t="s">
        <v>56</v>
      </c>
      <c r="Q637" t="s">
        <v>1298</v>
      </c>
      <c r="R637" s="5" t="s">
        <v>344</v>
      </c>
      <c r="S637" s="9">
        <v>10</v>
      </c>
      <c r="T637" s="9">
        <v>5</v>
      </c>
      <c r="U637" s="9">
        <v>5</v>
      </c>
      <c r="V637" s="10">
        <f>Table1[[#This Row],[MARGIN '[€']]]/Table1[[#This Row],[SALES '[€']]]</f>
        <v>0.5</v>
      </c>
      <c r="W637" s="5">
        <v>9215167073</v>
      </c>
      <c r="X637" s="5" t="s">
        <v>1391</v>
      </c>
      <c r="Y637" s="4">
        <v>441</v>
      </c>
      <c r="Z637" t="s">
        <v>1392</v>
      </c>
      <c r="AA637" t="s">
        <v>89</v>
      </c>
      <c r="AL637" t="s">
        <v>61</v>
      </c>
    </row>
    <row r="638" spans="1:38" x14ac:dyDescent="0.25">
      <c r="A638" s="4">
        <v>35</v>
      </c>
      <c r="B638" t="s">
        <v>48</v>
      </c>
      <c r="C638" t="s">
        <v>49</v>
      </c>
      <c r="D638" s="5" t="s">
        <v>50</v>
      </c>
      <c r="E638" t="s">
        <v>51</v>
      </c>
      <c r="F638" s="6">
        <v>45168</v>
      </c>
      <c r="G638" s="7">
        <v>0.84722222222222199</v>
      </c>
      <c r="H638" t="s">
        <v>90</v>
      </c>
      <c r="I638" s="5">
        <v>24</v>
      </c>
      <c r="J638" t="s">
        <v>92</v>
      </c>
      <c r="K638" s="6">
        <v>45170</v>
      </c>
      <c r="L638" s="23">
        <v>0.30902777777777801</v>
      </c>
      <c r="M638" s="5">
        <v>120183</v>
      </c>
      <c r="N638" s="5" t="s">
        <v>69</v>
      </c>
      <c r="O638" s="8" t="s">
        <v>56</v>
      </c>
      <c r="P638" t="s">
        <v>76</v>
      </c>
      <c r="Q638" t="s">
        <v>499</v>
      </c>
      <c r="R638" s="5" t="s">
        <v>500</v>
      </c>
      <c r="S638" s="9">
        <v>10</v>
      </c>
      <c r="T638" s="9">
        <v>5</v>
      </c>
      <c r="U638" s="9">
        <v>5</v>
      </c>
      <c r="V638" s="10">
        <f>Table1[[#This Row],[MARGIN '[€']]]/Table1[[#This Row],[SALES '[€']]]</f>
        <v>0.5</v>
      </c>
      <c r="W638" s="5" t="s">
        <v>1393</v>
      </c>
      <c r="X638" s="5" t="s">
        <v>1394</v>
      </c>
      <c r="Y638" s="4">
        <v>441</v>
      </c>
      <c r="Z638" t="s">
        <v>1395</v>
      </c>
      <c r="AA638" t="s">
        <v>73</v>
      </c>
      <c r="AL638" t="s">
        <v>61</v>
      </c>
    </row>
    <row r="639" spans="1:38" x14ac:dyDescent="0.25">
      <c r="A639" s="4">
        <v>35</v>
      </c>
      <c r="B639" t="s">
        <v>48</v>
      </c>
      <c r="C639" t="s">
        <v>49</v>
      </c>
      <c r="D639" s="5" t="s">
        <v>50</v>
      </c>
      <c r="E639" t="s">
        <v>51</v>
      </c>
      <c r="F639" s="6">
        <v>45168</v>
      </c>
      <c r="G639" s="7">
        <v>0.29166666666666702</v>
      </c>
      <c r="H639" t="s">
        <v>52</v>
      </c>
      <c r="I639" s="5">
        <v>23</v>
      </c>
      <c r="J639" t="s">
        <v>85</v>
      </c>
      <c r="K639" s="6">
        <v>45168</v>
      </c>
      <c r="L639" s="23">
        <v>0.5</v>
      </c>
      <c r="M639" s="5">
        <v>119963</v>
      </c>
      <c r="N639" s="5" t="s">
        <v>69</v>
      </c>
      <c r="O639" s="8" t="s">
        <v>56</v>
      </c>
      <c r="Q639" t="s">
        <v>998</v>
      </c>
      <c r="R639" s="5" t="s">
        <v>831</v>
      </c>
      <c r="S639" s="9">
        <v>10</v>
      </c>
      <c r="T639" s="9">
        <v>5</v>
      </c>
      <c r="U639" s="9">
        <v>5</v>
      </c>
      <c r="V639" s="10">
        <f>Table1[[#This Row],[MARGIN '[€']]]/Table1[[#This Row],[SALES '[€']]]</f>
        <v>0.5</v>
      </c>
      <c r="W639" s="5">
        <v>9215167074</v>
      </c>
      <c r="X639" s="5" t="s">
        <v>1396</v>
      </c>
      <c r="Y639" s="4">
        <v>261</v>
      </c>
      <c r="AA639" t="s">
        <v>89</v>
      </c>
      <c r="AL639" t="s">
        <v>61</v>
      </c>
    </row>
    <row r="640" spans="1:38" x14ac:dyDescent="0.25">
      <c r="A640" s="4">
        <v>35</v>
      </c>
      <c r="B640" t="s">
        <v>48</v>
      </c>
      <c r="C640" t="s">
        <v>49</v>
      </c>
      <c r="D640" s="5" t="s">
        <v>50</v>
      </c>
      <c r="E640" t="s">
        <v>51</v>
      </c>
      <c r="F640" s="6">
        <v>45168</v>
      </c>
      <c r="G640" s="7">
        <v>0.31944444444444398</v>
      </c>
      <c r="H640" t="s">
        <v>52</v>
      </c>
      <c r="I640" s="5">
        <v>23</v>
      </c>
      <c r="J640" t="s">
        <v>85</v>
      </c>
      <c r="K640" s="6">
        <v>45168</v>
      </c>
      <c r="L640" s="23">
        <v>0.58333333333333304</v>
      </c>
      <c r="M640" s="5">
        <v>119964</v>
      </c>
      <c r="N640" s="5" t="s">
        <v>69</v>
      </c>
      <c r="O640" s="8" t="s">
        <v>56</v>
      </c>
      <c r="Q640" t="s">
        <v>992</v>
      </c>
      <c r="R640" s="5" t="s">
        <v>58</v>
      </c>
      <c r="S640" s="9">
        <v>10</v>
      </c>
      <c r="T640" s="9">
        <v>5</v>
      </c>
      <c r="U640" s="9">
        <v>5</v>
      </c>
      <c r="V640" s="10">
        <f>Table1[[#This Row],[MARGIN '[€']]]/Table1[[#This Row],[SALES '[€']]]</f>
        <v>0.5</v>
      </c>
      <c r="W640" s="5">
        <v>9215166965</v>
      </c>
      <c r="X640" s="5" t="s">
        <v>1397</v>
      </c>
      <c r="Y640" s="4">
        <v>261</v>
      </c>
      <c r="AA640" t="s">
        <v>89</v>
      </c>
      <c r="AL640" t="s">
        <v>61</v>
      </c>
    </row>
    <row r="641" spans="1:38" x14ac:dyDescent="0.25">
      <c r="A641" s="4">
        <v>35</v>
      </c>
      <c r="B641" t="s">
        <v>48</v>
      </c>
      <c r="C641" t="s">
        <v>49</v>
      </c>
      <c r="D641" s="5" t="s">
        <v>50</v>
      </c>
      <c r="E641" t="s">
        <v>51</v>
      </c>
      <c r="F641" s="6">
        <v>45168</v>
      </c>
      <c r="G641" s="7">
        <v>0.40277777777777801</v>
      </c>
      <c r="H641" t="s">
        <v>52</v>
      </c>
      <c r="I641" s="5">
        <v>23</v>
      </c>
      <c r="J641" t="s">
        <v>85</v>
      </c>
      <c r="K641" s="6">
        <v>45168</v>
      </c>
      <c r="L641" s="23">
        <v>0.66666666666666696</v>
      </c>
      <c r="M641" s="5">
        <v>119965</v>
      </c>
      <c r="N641" s="5" t="s">
        <v>69</v>
      </c>
      <c r="O641" s="8" t="s">
        <v>56</v>
      </c>
      <c r="Q641" t="s">
        <v>86</v>
      </c>
      <c r="R641" s="5" t="s">
        <v>58</v>
      </c>
      <c r="S641" s="9">
        <v>10</v>
      </c>
      <c r="T641" s="9">
        <v>5</v>
      </c>
      <c r="U641" s="9">
        <v>5</v>
      </c>
      <c r="V641" s="10">
        <f>Table1[[#This Row],[MARGIN '[€']]]/Table1[[#This Row],[SALES '[€']]]</f>
        <v>0.5</v>
      </c>
      <c r="W641" s="5">
        <v>9215167038</v>
      </c>
      <c r="X641" s="5" t="s">
        <v>1398</v>
      </c>
      <c r="Y641" s="4">
        <v>261</v>
      </c>
      <c r="AA641" t="s">
        <v>89</v>
      </c>
      <c r="AL641" t="s">
        <v>61</v>
      </c>
    </row>
    <row r="642" spans="1:38" x14ac:dyDescent="0.25">
      <c r="A642" s="4">
        <v>35</v>
      </c>
      <c r="B642" t="s">
        <v>48</v>
      </c>
      <c r="C642" t="s">
        <v>49</v>
      </c>
      <c r="D642" s="5" t="s">
        <v>50</v>
      </c>
      <c r="E642" t="s">
        <v>51</v>
      </c>
      <c r="F642" s="6">
        <v>45168</v>
      </c>
      <c r="G642" s="7">
        <v>0.52083333333333304</v>
      </c>
      <c r="H642" t="s">
        <v>52</v>
      </c>
      <c r="I642" s="5">
        <v>23</v>
      </c>
      <c r="J642" t="s">
        <v>85</v>
      </c>
      <c r="K642" s="6">
        <v>45168</v>
      </c>
      <c r="L642" s="23">
        <v>0.75</v>
      </c>
      <c r="M642" s="5">
        <v>119967</v>
      </c>
      <c r="N642" s="5" t="s">
        <v>69</v>
      </c>
      <c r="O642" s="8" t="s">
        <v>56</v>
      </c>
      <c r="Q642" t="s">
        <v>111</v>
      </c>
      <c r="R642" s="5" t="s">
        <v>112</v>
      </c>
      <c r="S642" s="9">
        <v>10</v>
      </c>
      <c r="T642" s="9">
        <v>5</v>
      </c>
      <c r="U642" s="9">
        <v>5</v>
      </c>
      <c r="V642" s="10">
        <f>Table1[[#This Row],[MARGIN '[€']]]/Table1[[#This Row],[SALES '[€']]]</f>
        <v>0.5</v>
      </c>
      <c r="W642" s="5">
        <v>9215167039</v>
      </c>
      <c r="X642" s="5" t="s">
        <v>1399</v>
      </c>
      <c r="Y642" s="4">
        <v>261</v>
      </c>
      <c r="AA642" t="s">
        <v>89</v>
      </c>
      <c r="AL642" t="s">
        <v>61</v>
      </c>
    </row>
    <row r="643" spans="1:38" x14ac:dyDescent="0.25">
      <c r="A643" s="4">
        <v>35</v>
      </c>
      <c r="B643" t="s">
        <v>48</v>
      </c>
      <c r="C643" t="s">
        <v>49</v>
      </c>
      <c r="D643" s="5" t="s">
        <v>50</v>
      </c>
      <c r="E643" t="s">
        <v>51</v>
      </c>
      <c r="F643" s="6">
        <v>45168</v>
      </c>
      <c r="G643" s="7">
        <v>0.16666666666666699</v>
      </c>
      <c r="H643" t="s">
        <v>52</v>
      </c>
      <c r="I643" s="5">
        <v>35</v>
      </c>
      <c r="J643" t="s">
        <v>54</v>
      </c>
      <c r="K643" s="6">
        <v>45168</v>
      </c>
      <c r="L643" s="23">
        <v>0.75</v>
      </c>
      <c r="M643" s="5">
        <v>120185</v>
      </c>
      <c r="N643" s="5" t="s">
        <v>55</v>
      </c>
      <c r="O643" s="8" t="s">
        <v>56</v>
      </c>
      <c r="Q643" t="s">
        <v>57</v>
      </c>
      <c r="R643" s="5" t="s">
        <v>58</v>
      </c>
      <c r="S643" s="9">
        <v>10</v>
      </c>
      <c r="T643" s="9">
        <v>5</v>
      </c>
      <c r="U643" s="9">
        <v>5</v>
      </c>
      <c r="V643" s="10">
        <f>Table1[[#This Row],[MARGIN '[€']]]/Table1[[#This Row],[SALES '[€']]]</f>
        <v>0.5</v>
      </c>
      <c r="W643" s="5">
        <v>9215167060</v>
      </c>
      <c r="X643" s="5" t="s">
        <v>1400</v>
      </c>
      <c r="Y643" s="4">
        <v>82</v>
      </c>
      <c r="AA643" t="s">
        <v>89</v>
      </c>
      <c r="AL643" t="s">
        <v>61</v>
      </c>
    </row>
    <row r="644" spans="1:38" x14ac:dyDescent="0.25">
      <c r="A644" s="4">
        <v>35</v>
      </c>
      <c r="B644" t="s">
        <v>48</v>
      </c>
      <c r="C644" t="s">
        <v>49</v>
      </c>
      <c r="D644" s="5" t="s">
        <v>50</v>
      </c>
      <c r="E644" t="s">
        <v>51</v>
      </c>
      <c r="F644" s="6">
        <v>45168</v>
      </c>
      <c r="G644" s="7">
        <v>0.1875</v>
      </c>
      <c r="H644" t="s">
        <v>52</v>
      </c>
      <c r="I644" s="5">
        <v>35</v>
      </c>
      <c r="J644" t="s">
        <v>54</v>
      </c>
      <c r="K644" s="6">
        <v>45168</v>
      </c>
      <c r="L644" s="23">
        <v>0.75</v>
      </c>
      <c r="M644" s="5">
        <v>120186</v>
      </c>
      <c r="N644" s="5" t="s">
        <v>55</v>
      </c>
      <c r="O644" s="8" t="s">
        <v>56</v>
      </c>
      <c r="Q644" t="s">
        <v>62</v>
      </c>
      <c r="R644" s="5" t="s">
        <v>58</v>
      </c>
      <c r="S644" s="9">
        <v>10</v>
      </c>
      <c r="T644" s="9">
        <v>5</v>
      </c>
      <c r="U644" s="9">
        <v>5</v>
      </c>
      <c r="V644" s="10">
        <f>Table1[[#This Row],[MARGIN '[€']]]/Table1[[#This Row],[SALES '[€']]]</f>
        <v>0.5</v>
      </c>
      <c r="W644" s="5">
        <v>9215167063</v>
      </c>
      <c r="X644" s="5" t="s">
        <v>1401</v>
      </c>
      <c r="Y644" s="4">
        <v>82</v>
      </c>
      <c r="AA644" t="s">
        <v>89</v>
      </c>
      <c r="AL644" t="s">
        <v>61</v>
      </c>
    </row>
    <row r="645" spans="1:38" x14ac:dyDescent="0.25">
      <c r="A645" s="4">
        <v>35</v>
      </c>
      <c r="B645" t="s">
        <v>48</v>
      </c>
      <c r="C645" t="s">
        <v>49</v>
      </c>
      <c r="D645" s="5" t="s">
        <v>50</v>
      </c>
      <c r="E645" t="s">
        <v>51</v>
      </c>
      <c r="F645" s="6">
        <v>45168</v>
      </c>
      <c r="G645" s="7">
        <v>0.20833333333333301</v>
      </c>
      <c r="H645" t="s">
        <v>52</v>
      </c>
      <c r="I645" s="5">
        <v>35</v>
      </c>
      <c r="J645" t="s">
        <v>54</v>
      </c>
      <c r="K645" s="6">
        <v>45168</v>
      </c>
      <c r="L645" s="23">
        <v>0.75</v>
      </c>
      <c r="M645" s="5">
        <v>120187</v>
      </c>
      <c r="N645" s="5" t="s">
        <v>55</v>
      </c>
      <c r="O645" s="8" t="s">
        <v>56</v>
      </c>
      <c r="Q645" t="s">
        <v>64</v>
      </c>
      <c r="R645" s="5" t="s">
        <v>58</v>
      </c>
      <c r="S645" s="9">
        <v>10</v>
      </c>
      <c r="T645" s="9">
        <v>5</v>
      </c>
      <c r="U645" s="9">
        <v>5</v>
      </c>
      <c r="V645" s="10">
        <f>Table1[[#This Row],[MARGIN '[€']]]/Table1[[#This Row],[SALES '[€']]]</f>
        <v>0.5</v>
      </c>
      <c r="W645" s="5">
        <v>9215167066</v>
      </c>
      <c r="X645" s="5" t="s">
        <v>1402</v>
      </c>
      <c r="Y645" s="4">
        <v>82</v>
      </c>
      <c r="AA645" t="s">
        <v>89</v>
      </c>
      <c r="AL645" t="s">
        <v>61</v>
      </c>
    </row>
    <row r="646" spans="1:38" x14ac:dyDescent="0.25">
      <c r="A646" s="4">
        <v>35</v>
      </c>
      <c r="B646" t="s">
        <v>48</v>
      </c>
      <c r="C646" t="s">
        <v>49</v>
      </c>
      <c r="D646" s="5" t="s">
        <v>50</v>
      </c>
      <c r="E646" t="s">
        <v>51</v>
      </c>
      <c r="F646" s="6">
        <v>45168</v>
      </c>
      <c r="G646" s="7">
        <v>0.33333333333333298</v>
      </c>
      <c r="H646" t="s">
        <v>52</v>
      </c>
      <c r="I646" s="5">
        <v>35</v>
      </c>
      <c r="J646" t="s">
        <v>54</v>
      </c>
      <c r="K646" s="6">
        <v>45168</v>
      </c>
      <c r="L646" s="23">
        <v>0.75</v>
      </c>
      <c r="M646" s="5">
        <v>120188</v>
      </c>
      <c r="N646" s="5" t="s">
        <v>55</v>
      </c>
      <c r="O646" s="8" t="s">
        <v>56</v>
      </c>
      <c r="Q646" t="s">
        <v>57</v>
      </c>
      <c r="R646" s="5" t="s">
        <v>58</v>
      </c>
      <c r="S646" s="9">
        <v>10</v>
      </c>
      <c r="T646" s="9">
        <v>5</v>
      </c>
      <c r="U646" s="9">
        <v>5</v>
      </c>
      <c r="V646" s="10">
        <f>Table1[[#This Row],[MARGIN '[€']]]/Table1[[#This Row],[SALES '[€']]]</f>
        <v>0.5</v>
      </c>
      <c r="W646" s="5">
        <v>9215167061</v>
      </c>
      <c r="X646" s="5" t="s">
        <v>1400</v>
      </c>
      <c r="Y646" s="4">
        <v>82</v>
      </c>
      <c r="AA646" t="s">
        <v>89</v>
      </c>
      <c r="AL646" t="s">
        <v>61</v>
      </c>
    </row>
    <row r="647" spans="1:38" x14ac:dyDescent="0.25">
      <c r="A647" s="4">
        <v>35</v>
      </c>
      <c r="B647" t="s">
        <v>48</v>
      </c>
      <c r="C647" t="s">
        <v>49</v>
      </c>
      <c r="D647" s="5" t="s">
        <v>50</v>
      </c>
      <c r="E647" t="s">
        <v>51</v>
      </c>
      <c r="F647" s="6">
        <v>45168</v>
      </c>
      <c r="G647" s="7">
        <v>0.34722222222222199</v>
      </c>
      <c r="H647" t="s">
        <v>52</v>
      </c>
      <c r="I647" s="5">
        <v>35</v>
      </c>
      <c r="J647" t="s">
        <v>54</v>
      </c>
      <c r="K647" s="6">
        <v>45168</v>
      </c>
      <c r="L647" s="23">
        <v>0.75</v>
      </c>
      <c r="M647" s="5">
        <v>120189</v>
      </c>
      <c r="N647" s="5" t="s">
        <v>55</v>
      </c>
      <c r="O647" s="8" t="s">
        <v>56</v>
      </c>
      <c r="Q647" t="s">
        <v>62</v>
      </c>
      <c r="R647" s="5" t="s">
        <v>58</v>
      </c>
      <c r="S647" s="9">
        <v>10</v>
      </c>
      <c r="T647" s="9">
        <v>5</v>
      </c>
      <c r="U647" s="9">
        <v>5</v>
      </c>
      <c r="V647" s="10">
        <f>Table1[[#This Row],[MARGIN '[€']]]/Table1[[#This Row],[SALES '[€']]]</f>
        <v>0.5</v>
      </c>
      <c r="W647" s="5">
        <v>9215167064</v>
      </c>
      <c r="X647" s="5" t="s">
        <v>1401</v>
      </c>
      <c r="Y647" s="4">
        <v>82</v>
      </c>
      <c r="AA647" t="s">
        <v>89</v>
      </c>
      <c r="AL647" t="s">
        <v>61</v>
      </c>
    </row>
    <row r="648" spans="1:38" x14ac:dyDescent="0.25">
      <c r="A648" s="4">
        <v>35</v>
      </c>
      <c r="B648" t="s">
        <v>48</v>
      </c>
      <c r="C648" t="s">
        <v>49</v>
      </c>
      <c r="D648" s="5" t="s">
        <v>50</v>
      </c>
      <c r="E648" t="s">
        <v>51</v>
      </c>
      <c r="F648" s="6">
        <v>45168</v>
      </c>
      <c r="G648" s="7">
        <v>0.36111111111111099</v>
      </c>
      <c r="H648" t="s">
        <v>52</v>
      </c>
      <c r="I648" s="5">
        <v>35</v>
      </c>
      <c r="J648" t="s">
        <v>54</v>
      </c>
      <c r="K648" s="6">
        <v>45168</v>
      </c>
      <c r="L648" s="23">
        <v>0.75</v>
      </c>
      <c r="M648" s="5">
        <v>120190</v>
      </c>
      <c r="N648" s="5" t="s">
        <v>55</v>
      </c>
      <c r="O648" s="8" t="s">
        <v>56</v>
      </c>
      <c r="Q648" t="s">
        <v>64</v>
      </c>
      <c r="R648" s="5" t="s">
        <v>58</v>
      </c>
      <c r="S648" s="9">
        <v>10</v>
      </c>
      <c r="T648" s="9">
        <v>5</v>
      </c>
      <c r="U648" s="9">
        <v>5</v>
      </c>
      <c r="V648" s="10">
        <f>Table1[[#This Row],[MARGIN '[€']]]/Table1[[#This Row],[SALES '[€']]]</f>
        <v>0.5</v>
      </c>
      <c r="W648" s="5">
        <v>9215167067</v>
      </c>
      <c r="X648" s="5" t="s">
        <v>1402</v>
      </c>
      <c r="Y648" s="4">
        <v>82</v>
      </c>
      <c r="AA648" t="s">
        <v>89</v>
      </c>
      <c r="AL648" t="s">
        <v>61</v>
      </c>
    </row>
    <row r="649" spans="1:38" x14ac:dyDescent="0.25">
      <c r="A649" s="4">
        <v>35</v>
      </c>
      <c r="B649" t="s">
        <v>48</v>
      </c>
      <c r="C649" t="s">
        <v>49</v>
      </c>
      <c r="D649" s="5" t="s">
        <v>50</v>
      </c>
      <c r="E649" t="s">
        <v>51</v>
      </c>
      <c r="F649" s="6">
        <v>45168</v>
      </c>
      <c r="G649" s="7">
        <v>0.47222222222222199</v>
      </c>
      <c r="H649" t="s">
        <v>52</v>
      </c>
      <c r="I649" s="5">
        <v>35</v>
      </c>
      <c r="J649" t="s">
        <v>54</v>
      </c>
      <c r="K649" s="6">
        <v>45168</v>
      </c>
      <c r="L649" s="23">
        <v>0.75</v>
      </c>
      <c r="M649" s="5">
        <v>120191</v>
      </c>
      <c r="N649" s="5" t="s">
        <v>55</v>
      </c>
      <c r="O649" s="8" t="s">
        <v>56</v>
      </c>
      <c r="Q649" t="s">
        <v>57</v>
      </c>
      <c r="R649" s="5" t="s">
        <v>58</v>
      </c>
      <c r="S649" s="9">
        <v>10</v>
      </c>
      <c r="T649" s="9">
        <v>5</v>
      </c>
      <c r="U649" s="9">
        <v>5</v>
      </c>
      <c r="V649" s="10">
        <f>Table1[[#This Row],[MARGIN '[€']]]/Table1[[#This Row],[SALES '[€']]]</f>
        <v>0.5</v>
      </c>
      <c r="W649" s="5">
        <v>9215167062</v>
      </c>
      <c r="X649" s="5" t="s">
        <v>1400</v>
      </c>
      <c r="Y649" s="4">
        <v>82</v>
      </c>
      <c r="AA649" t="s">
        <v>89</v>
      </c>
      <c r="AL649" t="s">
        <v>61</v>
      </c>
    </row>
    <row r="650" spans="1:38" x14ac:dyDescent="0.25">
      <c r="A650" s="4">
        <v>35</v>
      </c>
      <c r="B650" t="s">
        <v>48</v>
      </c>
      <c r="C650" t="s">
        <v>49</v>
      </c>
      <c r="D650" s="5" t="s">
        <v>50</v>
      </c>
      <c r="E650" t="s">
        <v>51</v>
      </c>
      <c r="F650" s="6">
        <v>45168</v>
      </c>
      <c r="G650" s="7">
        <v>0.48611111111111099</v>
      </c>
      <c r="H650" t="s">
        <v>52</v>
      </c>
      <c r="I650" s="5">
        <v>35</v>
      </c>
      <c r="J650" t="s">
        <v>54</v>
      </c>
      <c r="K650" s="6">
        <v>45168</v>
      </c>
      <c r="L650" s="23">
        <v>0.75</v>
      </c>
      <c r="M650" s="5">
        <v>120192</v>
      </c>
      <c r="N650" s="5" t="s">
        <v>55</v>
      </c>
      <c r="O650" s="8" t="s">
        <v>56</v>
      </c>
      <c r="Q650" t="s">
        <v>62</v>
      </c>
      <c r="R650" s="5" t="s">
        <v>58</v>
      </c>
      <c r="S650" s="9">
        <v>10</v>
      </c>
      <c r="T650" s="9">
        <v>5</v>
      </c>
      <c r="U650" s="9">
        <v>5</v>
      </c>
      <c r="V650" s="10">
        <f>Table1[[#This Row],[MARGIN '[€']]]/Table1[[#This Row],[SALES '[€']]]</f>
        <v>0.5</v>
      </c>
      <c r="W650" s="5">
        <v>9215167065</v>
      </c>
      <c r="X650" s="5" t="s">
        <v>1401</v>
      </c>
      <c r="Y650" s="4">
        <v>82</v>
      </c>
      <c r="AA650" t="s">
        <v>89</v>
      </c>
      <c r="AL650" t="s">
        <v>61</v>
      </c>
    </row>
    <row r="651" spans="1:38" x14ac:dyDescent="0.25">
      <c r="A651" s="4">
        <v>35</v>
      </c>
      <c r="B651" t="s">
        <v>48</v>
      </c>
      <c r="C651" t="s">
        <v>49</v>
      </c>
      <c r="D651" s="5" t="s">
        <v>50</v>
      </c>
      <c r="E651" t="s">
        <v>51</v>
      </c>
      <c r="F651" s="6">
        <v>45168</v>
      </c>
      <c r="G651" s="7">
        <v>0.5</v>
      </c>
      <c r="H651" t="s">
        <v>52</v>
      </c>
      <c r="I651" s="5">
        <v>35</v>
      </c>
      <c r="J651" t="s">
        <v>54</v>
      </c>
      <c r="K651" s="6">
        <v>45168</v>
      </c>
      <c r="L651" s="23">
        <v>0.75</v>
      </c>
      <c r="M651" s="5">
        <v>120193</v>
      </c>
      <c r="N651" s="5" t="s">
        <v>55</v>
      </c>
      <c r="O651" s="8" t="s">
        <v>56</v>
      </c>
      <c r="Q651" t="s">
        <v>64</v>
      </c>
      <c r="R651" s="5" t="s">
        <v>58</v>
      </c>
      <c r="S651" s="9">
        <v>10</v>
      </c>
      <c r="T651" s="9">
        <v>5</v>
      </c>
      <c r="U651" s="9">
        <v>5</v>
      </c>
      <c r="V651" s="10">
        <f>Table1[[#This Row],[MARGIN '[€']]]/Table1[[#This Row],[SALES '[€']]]</f>
        <v>0.5</v>
      </c>
      <c r="W651" s="5">
        <v>9215167068</v>
      </c>
      <c r="X651" s="5" t="s">
        <v>1402</v>
      </c>
      <c r="Y651" s="4">
        <v>82</v>
      </c>
      <c r="AA651" t="s">
        <v>89</v>
      </c>
      <c r="AL651" t="s">
        <v>61</v>
      </c>
    </row>
    <row r="652" spans="1:38" x14ac:dyDescent="0.25">
      <c r="A652" s="4">
        <v>35</v>
      </c>
      <c r="B652" t="s">
        <v>48</v>
      </c>
      <c r="C652" t="s">
        <v>49</v>
      </c>
      <c r="D652" s="5" t="s">
        <v>102</v>
      </c>
      <c r="E652" t="s">
        <v>103</v>
      </c>
      <c r="F652" s="6">
        <v>45168</v>
      </c>
      <c r="G652" s="7">
        <v>0.46875</v>
      </c>
      <c r="H652" t="s">
        <v>90</v>
      </c>
      <c r="I652" s="5" t="s">
        <v>304</v>
      </c>
      <c r="J652" t="s">
        <v>305</v>
      </c>
      <c r="K652" s="6">
        <v>45173</v>
      </c>
      <c r="L652" s="23">
        <v>0.76041666666666696</v>
      </c>
      <c r="M652" s="5">
        <v>120259</v>
      </c>
      <c r="N652" s="5" t="s">
        <v>55</v>
      </c>
      <c r="O652" s="8" t="s">
        <v>56</v>
      </c>
      <c r="Q652" t="s">
        <v>1403</v>
      </c>
      <c r="R652" s="5" t="s">
        <v>307</v>
      </c>
      <c r="S652" s="9">
        <v>10</v>
      </c>
      <c r="T652" s="9">
        <v>5</v>
      </c>
      <c r="U652" s="9">
        <v>5</v>
      </c>
      <c r="V652" s="10">
        <f>Table1[[#This Row],[MARGIN '[€']]]/Table1[[#This Row],[SALES '[€']]]</f>
        <v>0.5</v>
      </c>
      <c r="W652" s="5">
        <v>9215167075</v>
      </c>
      <c r="X652" s="5" t="s">
        <v>1404</v>
      </c>
      <c r="Y652" s="4">
        <v>621</v>
      </c>
      <c r="AA652" t="s">
        <v>89</v>
      </c>
      <c r="AL652" t="s">
        <v>61</v>
      </c>
    </row>
    <row r="653" spans="1:38" x14ac:dyDescent="0.25">
      <c r="A653" s="4">
        <v>35</v>
      </c>
      <c r="B653" t="s">
        <v>48</v>
      </c>
      <c r="C653" t="s">
        <v>49</v>
      </c>
      <c r="D653" s="5" t="s">
        <v>102</v>
      </c>
      <c r="E653" t="s">
        <v>103</v>
      </c>
      <c r="F653" s="6">
        <v>45168</v>
      </c>
      <c r="G653" s="7">
        <v>0.53125</v>
      </c>
      <c r="H653" t="s">
        <v>90</v>
      </c>
      <c r="I653" s="5" t="s">
        <v>304</v>
      </c>
      <c r="J653" t="s">
        <v>305</v>
      </c>
      <c r="K653" s="6">
        <v>45173</v>
      </c>
      <c r="L653" s="23">
        <v>0.82291666666666696</v>
      </c>
      <c r="M653" s="5">
        <v>120260</v>
      </c>
      <c r="N653" s="5" t="s">
        <v>55</v>
      </c>
      <c r="O653" s="8" t="s">
        <v>56</v>
      </c>
      <c r="Q653" t="s">
        <v>1405</v>
      </c>
      <c r="R653" s="5" t="s">
        <v>307</v>
      </c>
      <c r="S653" s="9">
        <v>10</v>
      </c>
      <c r="T653" s="9">
        <v>5</v>
      </c>
      <c r="U653" s="9">
        <v>5</v>
      </c>
      <c r="V653" s="10">
        <f>Table1[[#This Row],[MARGIN '[€']]]/Table1[[#This Row],[SALES '[€']]]</f>
        <v>0.5</v>
      </c>
      <c r="W653" s="5">
        <v>9215167077</v>
      </c>
      <c r="X653" s="5" t="s">
        <v>1406</v>
      </c>
      <c r="Y653" s="4">
        <v>621</v>
      </c>
      <c r="AA653" t="s">
        <v>89</v>
      </c>
      <c r="AL653" t="s">
        <v>61</v>
      </c>
    </row>
    <row r="654" spans="1:38" x14ac:dyDescent="0.25">
      <c r="A654" s="4">
        <v>35</v>
      </c>
      <c r="B654" t="s">
        <v>137</v>
      </c>
      <c r="C654" t="s">
        <v>49</v>
      </c>
      <c r="D654" s="5" t="s">
        <v>102</v>
      </c>
      <c r="E654" t="s">
        <v>103</v>
      </c>
      <c r="F654" s="6">
        <v>45168</v>
      </c>
      <c r="H654" t="s">
        <v>49</v>
      </c>
      <c r="I654" s="5" t="s">
        <v>50</v>
      </c>
      <c r="J654" t="s">
        <v>51</v>
      </c>
      <c r="K654" s="6">
        <v>45168</v>
      </c>
      <c r="L654" s="23"/>
      <c r="M654" s="5" t="s">
        <v>1407</v>
      </c>
      <c r="N654" s="5" t="s">
        <v>69</v>
      </c>
      <c r="O654" s="8" t="s">
        <v>56</v>
      </c>
      <c r="Q654" t="s">
        <v>1408</v>
      </c>
      <c r="R654" s="5">
        <v>90921</v>
      </c>
      <c r="S654" s="9">
        <v>10</v>
      </c>
      <c r="T654" s="9">
        <v>5</v>
      </c>
      <c r="U654" s="9">
        <v>5</v>
      </c>
      <c r="V654" s="10">
        <f>Table1[[#This Row],[MARGIN '[€']]]/Table1[[#This Row],[SALES '[€']]]</f>
        <v>0.5</v>
      </c>
      <c r="W654" s="5">
        <v>9215167090</v>
      </c>
      <c r="X654" s="5" t="s">
        <v>1409</v>
      </c>
      <c r="Y654" s="4">
        <v>57</v>
      </c>
      <c r="AA654" t="s">
        <v>89</v>
      </c>
      <c r="AL654" t="s">
        <v>61</v>
      </c>
    </row>
    <row r="655" spans="1:38" x14ac:dyDescent="0.25">
      <c r="A655" s="4">
        <v>35</v>
      </c>
      <c r="B655" t="s">
        <v>137</v>
      </c>
      <c r="C655" t="s">
        <v>49</v>
      </c>
      <c r="D655" s="5" t="s">
        <v>102</v>
      </c>
      <c r="E655" t="s">
        <v>103</v>
      </c>
      <c r="F655" s="6">
        <v>45168</v>
      </c>
      <c r="H655" t="s">
        <v>49</v>
      </c>
      <c r="I655" s="5" t="s">
        <v>50</v>
      </c>
      <c r="J655" t="s">
        <v>51</v>
      </c>
      <c r="K655" s="6">
        <v>45168</v>
      </c>
      <c r="L655" s="23"/>
      <c r="M655" s="5" t="s">
        <v>1410</v>
      </c>
      <c r="N655" s="5" t="s">
        <v>69</v>
      </c>
      <c r="O655" s="8" t="s">
        <v>56</v>
      </c>
      <c r="Q655" t="s">
        <v>1411</v>
      </c>
      <c r="R655" s="5">
        <v>90921</v>
      </c>
      <c r="S655" s="9">
        <v>10</v>
      </c>
      <c r="T655" s="9">
        <v>5</v>
      </c>
      <c r="U655" s="9">
        <v>5</v>
      </c>
      <c r="V655" s="10">
        <f>Table1[[#This Row],[MARGIN '[€']]]/Table1[[#This Row],[SALES '[€']]]</f>
        <v>0.5</v>
      </c>
      <c r="W655" s="5">
        <v>9215167091</v>
      </c>
      <c r="X655" s="5" t="s">
        <v>1412</v>
      </c>
      <c r="Y655" s="4">
        <v>57</v>
      </c>
      <c r="AA655" t="s">
        <v>89</v>
      </c>
      <c r="AL655" t="s">
        <v>61</v>
      </c>
    </row>
    <row r="656" spans="1:38" x14ac:dyDescent="0.25">
      <c r="A656" s="4">
        <v>35</v>
      </c>
      <c r="B656" t="s">
        <v>137</v>
      </c>
      <c r="C656" t="s">
        <v>49</v>
      </c>
      <c r="D656" s="5" t="s">
        <v>50</v>
      </c>
      <c r="E656" t="s">
        <v>51</v>
      </c>
      <c r="F656" s="6">
        <v>45169</v>
      </c>
      <c r="G656" s="7">
        <v>0.5</v>
      </c>
      <c r="H656" t="s">
        <v>138</v>
      </c>
      <c r="I656" s="5" t="s">
        <v>139</v>
      </c>
      <c r="J656" t="s">
        <v>140</v>
      </c>
      <c r="K656" s="6">
        <v>45173</v>
      </c>
      <c r="L656" s="23">
        <v>0.243055555555556</v>
      </c>
      <c r="M656" s="5" t="s">
        <v>1413</v>
      </c>
      <c r="N656" s="5" t="s">
        <v>142</v>
      </c>
      <c r="O656" s="8" t="s">
        <v>56</v>
      </c>
      <c r="P656" t="s">
        <v>1414</v>
      </c>
      <c r="Q656" t="s">
        <v>281</v>
      </c>
      <c r="R656" s="5" t="s">
        <v>145</v>
      </c>
      <c r="S656" s="9">
        <v>10</v>
      </c>
      <c r="T656" s="9">
        <v>5</v>
      </c>
      <c r="U656" s="9">
        <v>5</v>
      </c>
      <c r="V656" s="10">
        <f>Table1[[#This Row],[MARGIN '[€']]]/Table1[[#This Row],[SALES '[€']]]</f>
        <v>0.5</v>
      </c>
      <c r="W656" s="5">
        <v>9215167143</v>
      </c>
      <c r="X656" s="5" t="s">
        <v>1415</v>
      </c>
      <c r="Y656" s="4">
        <v>1360</v>
      </c>
      <c r="AA656" t="s">
        <v>73</v>
      </c>
      <c r="AL656" t="s">
        <v>61</v>
      </c>
    </row>
    <row r="657" spans="1:40" x14ac:dyDescent="0.25">
      <c r="A657" s="4">
        <v>35</v>
      </c>
      <c r="B657" t="s">
        <v>170</v>
      </c>
      <c r="C657" t="s">
        <v>153</v>
      </c>
      <c r="D657" s="5" t="s">
        <v>171</v>
      </c>
      <c r="E657" t="s">
        <v>172</v>
      </c>
      <c r="F657" s="6">
        <v>45169</v>
      </c>
      <c r="G657" s="7">
        <v>0.375</v>
      </c>
      <c r="H657" t="s">
        <v>49</v>
      </c>
      <c r="I657" s="5" t="s">
        <v>156</v>
      </c>
      <c r="J657" t="s">
        <v>173</v>
      </c>
      <c r="K657" s="6">
        <v>45173</v>
      </c>
      <c r="L657" s="3">
        <v>0.375</v>
      </c>
      <c r="N657" s="5" t="s">
        <v>55</v>
      </c>
      <c r="O657" s="8" t="s">
        <v>159</v>
      </c>
      <c r="P657">
        <v>2210</v>
      </c>
      <c r="Q657" t="s">
        <v>1416</v>
      </c>
      <c r="R657" s="5" t="s">
        <v>161</v>
      </c>
      <c r="S657" s="9">
        <v>10</v>
      </c>
      <c r="T657" s="9">
        <v>5</v>
      </c>
      <c r="U657" s="9">
        <v>5</v>
      </c>
      <c r="V657" s="10">
        <f>Table1[[#This Row],[MARGIN '[€']]]/Table1[[#This Row],[SALES '[€']]]</f>
        <v>0.5</v>
      </c>
      <c r="W657" s="5">
        <v>3800171139</v>
      </c>
      <c r="X657" s="5" t="s">
        <v>1417</v>
      </c>
      <c r="Y657" s="4">
        <v>1766</v>
      </c>
      <c r="AA657" t="s">
        <v>163</v>
      </c>
      <c r="AD657">
        <v>13</v>
      </c>
      <c r="AE657" s="3">
        <v>4</v>
      </c>
      <c r="AL657" t="s">
        <v>61</v>
      </c>
    </row>
    <row r="658" spans="1:40" x14ac:dyDescent="0.25">
      <c r="A658" s="4">
        <v>35</v>
      </c>
      <c r="B658" t="s">
        <v>152</v>
      </c>
      <c r="C658" t="s">
        <v>153</v>
      </c>
      <c r="D658" s="5" t="s">
        <v>798</v>
      </c>
      <c r="E658" t="s">
        <v>799</v>
      </c>
      <c r="F658" s="6">
        <v>45169</v>
      </c>
      <c r="G658" s="7">
        <v>0.5</v>
      </c>
      <c r="H658" t="s">
        <v>49</v>
      </c>
      <c r="I658" s="5" t="s">
        <v>156</v>
      </c>
      <c r="J658" t="s">
        <v>157</v>
      </c>
      <c r="K658" s="6">
        <v>45173</v>
      </c>
      <c r="L658" s="23">
        <v>0.5</v>
      </c>
      <c r="M658" s="5" t="s">
        <v>1418</v>
      </c>
      <c r="N658" s="5" t="s">
        <v>142</v>
      </c>
      <c r="O658" s="8" t="s">
        <v>159</v>
      </c>
      <c r="P658">
        <v>1500</v>
      </c>
      <c r="Q658" t="s">
        <v>1419</v>
      </c>
      <c r="R658" s="5" t="s">
        <v>161</v>
      </c>
      <c r="S658" s="9">
        <v>10</v>
      </c>
      <c r="T658" s="9">
        <v>5</v>
      </c>
      <c r="U658" s="9">
        <v>5</v>
      </c>
      <c r="V658" s="10">
        <f>Table1[[#This Row],[MARGIN '[€']]]/Table1[[#This Row],[SALES '[€']]]</f>
        <v>0.5</v>
      </c>
      <c r="W658" s="5">
        <v>9215167045</v>
      </c>
      <c r="X658" s="5" t="s">
        <v>1420</v>
      </c>
      <c r="Y658" s="4">
        <v>1820</v>
      </c>
      <c r="AA658" t="s">
        <v>73</v>
      </c>
      <c r="AD658">
        <v>18</v>
      </c>
      <c r="AE658" s="3">
        <v>45080</v>
      </c>
      <c r="AL658" t="s">
        <v>61</v>
      </c>
    </row>
    <row r="659" spans="1:40" x14ac:dyDescent="0.25">
      <c r="A659" s="4">
        <v>35</v>
      </c>
      <c r="B659" t="s">
        <v>333</v>
      </c>
      <c r="C659" t="s">
        <v>49</v>
      </c>
      <c r="D659" s="5" t="s">
        <v>334</v>
      </c>
      <c r="E659" t="s">
        <v>335</v>
      </c>
      <c r="F659" s="6">
        <v>45169</v>
      </c>
      <c r="G659" s="7">
        <v>0.79166666666666696</v>
      </c>
      <c r="H659" t="s">
        <v>138</v>
      </c>
      <c r="I659" s="5" t="s">
        <v>1279</v>
      </c>
      <c r="J659" t="s">
        <v>576</v>
      </c>
      <c r="K659" s="6">
        <v>45174</v>
      </c>
      <c r="L659" s="23">
        <v>0.29166666666666702</v>
      </c>
      <c r="M659" s="5">
        <v>1002946215</v>
      </c>
      <c r="N659" s="5" t="s">
        <v>337</v>
      </c>
      <c r="O659" s="8" t="s">
        <v>338</v>
      </c>
      <c r="P659" t="s">
        <v>393</v>
      </c>
      <c r="Q659" t="s">
        <v>1421</v>
      </c>
      <c r="R659" s="5" t="s">
        <v>145</v>
      </c>
      <c r="S659" s="9">
        <v>10</v>
      </c>
      <c r="T659" s="9">
        <v>5</v>
      </c>
      <c r="U659" s="9">
        <v>5</v>
      </c>
      <c r="V659" s="10">
        <f>Table1[[#This Row],[MARGIN '[€']]]/Table1[[#This Row],[SALES '[€']]]</f>
        <v>0.5</v>
      </c>
      <c r="W659" s="5">
        <v>9215166699</v>
      </c>
      <c r="X659" s="5" t="s">
        <v>1422</v>
      </c>
      <c r="Y659" s="4">
        <v>1637</v>
      </c>
      <c r="AA659" t="s">
        <v>342</v>
      </c>
      <c r="AL659" t="s">
        <v>61</v>
      </c>
    </row>
    <row r="660" spans="1:40" x14ac:dyDescent="0.25">
      <c r="A660" s="4">
        <v>35</v>
      </c>
      <c r="B660" t="s">
        <v>333</v>
      </c>
      <c r="C660" t="s">
        <v>49</v>
      </c>
      <c r="D660" s="5" t="s">
        <v>334</v>
      </c>
      <c r="E660" t="s">
        <v>335</v>
      </c>
      <c r="F660" s="6">
        <v>45169</v>
      </c>
      <c r="G660" s="7">
        <v>0.85416666666666696</v>
      </c>
      <c r="H660" t="s">
        <v>138</v>
      </c>
      <c r="I660" s="5" t="s">
        <v>1423</v>
      </c>
      <c r="J660" t="s">
        <v>392</v>
      </c>
      <c r="K660" s="6">
        <v>45175</v>
      </c>
      <c r="L660" s="23">
        <v>0.41666666666666702</v>
      </c>
      <c r="M660" s="5">
        <v>1002944986</v>
      </c>
      <c r="N660" s="5" t="s">
        <v>337</v>
      </c>
      <c r="O660" s="8" t="s">
        <v>338</v>
      </c>
      <c r="P660" t="s">
        <v>1424</v>
      </c>
      <c r="Q660" t="s">
        <v>1425</v>
      </c>
      <c r="R660" s="5" t="s">
        <v>513</v>
      </c>
      <c r="S660" s="9">
        <v>10</v>
      </c>
      <c r="T660" s="9">
        <v>5</v>
      </c>
      <c r="U660" s="9">
        <v>5</v>
      </c>
      <c r="V660" s="10">
        <f>Table1[[#This Row],[MARGIN '[€']]]/Table1[[#This Row],[SALES '[€']]]</f>
        <v>0.5</v>
      </c>
      <c r="W660" s="5">
        <v>9215167037</v>
      </c>
      <c r="X660" s="5" t="s">
        <v>1426</v>
      </c>
      <c r="Y660" s="4">
        <v>1571</v>
      </c>
      <c r="AA660" t="s">
        <v>163</v>
      </c>
      <c r="AL660" t="s">
        <v>61</v>
      </c>
    </row>
    <row r="661" spans="1:40" x14ac:dyDescent="0.25">
      <c r="A661" s="4">
        <v>35</v>
      </c>
      <c r="B661" t="s">
        <v>333</v>
      </c>
      <c r="C661" t="s">
        <v>49</v>
      </c>
      <c r="D661" s="5" t="s">
        <v>334</v>
      </c>
      <c r="E661" t="s">
        <v>335</v>
      </c>
      <c r="F661" s="6">
        <v>45169</v>
      </c>
      <c r="G661" s="7">
        <v>0.375</v>
      </c>
      <c r="H661" t="s">
        <v>138</v>
      </c>
      <c r="I661" s="5" t="s">
        <v>1279</v>
      </c>
      <c r="J661" t="s">
        <v>582</v>
      </c>
      <c r="K661" s="6">
        <v>45175</v>
      </c>
      <c r="L661" s="23">
        <v>0.29166666666666702</v>
      </c>
      <c r="M661" s="5">
        <v>1002944979</v>
      </c>
      <c r="N661" s="5" t="s">
        <v>337</v>
      </c>
      <c r="O661" s="8" t="s">
        <v>338</v>
      </c>
      <c r="Q661" t="s">
        <v>1427</v>
      </c>
      <c r="R661" s="5" t="s">
        <v>145</v>
      </c>
      <c r="S661" s="9">
        <v>10</v>
      </c>
      <c r="T661" s="9">
        <v>5</v>
      </c>
      <c r="U661" s="9">
        <v>5</v>
      </c>
      <c r="V661" s="10">
        <f>Table1[[#This Row],[MARGIN '[€']]]/Table1[[#This Row],[SALES '[€']]]</f>
        <v>0.5</v>
      </c>
      <c r="W661" s="5">
        <v>9215166942</v>
      </c>
      <c r="X661" s="5" t="s">
        <v>1428</v>
      </c>
      <c r="Y661" s="4">
        <v>1642</v>
      </c>
      <c r="AA661" t="s">
        <v>342</v>
      </c>
      <c r="AL661" t="s">
        <v>61</v>
      </c>
    </row>
    <row r="662" spans="1:40" x14ac:dyDescent="0.25">
      <c r="A662" s="4">
        <v>35</v>
      </c>
      <c r="B662" t="s">
        <v>333</v>
      </c>
      <c r="C662" t="s">
        <v>49</v>
      </c>
      <c r="D662" s="5" t="s">
        <v>334</v>
      </c>
      <c r="E662" t="s">
        <v>335</v>
      </c>
      <c r="F662" s="6">
        <v>45169</v>
      </c>
      <c r="G662" s="7">
        <v>0.25</v>
      </c>
      <c r="H662" t="s">
        <v>138</v>
      </c>
      <c r="I662" s="5" t="s">
        <v>1423</v>
      </c>
      <c r="J662" t="s">
        <v>392</v>
      </c>
      <c r="K662" s="6">
        <v>45174</v>
      </c>
      <c r="L662" s="3">
        <v>0.25</v>
      </c>
      <c r="M662" s="5">
        <v>1002944983</v>
      </c>
      <c r="N662" s="5" t="s">
        <v>337</v>
      </c>
      <c r="O662" s="8" t="s">
        <v>338</v>
      </c>
      <c r="P662" t="s">
        <v>1424</v>
      </c>
      <c r="Q662" t="s">
        <v>610</v>
      </c>
      <c r="R662" s="5" t="s">
        <v>611</v>
      </c>
      <c r="S662" s="9">
        <v>10</v>
      </c>
      <c r="T662" s="9">
        <v>5</v>
      </c>
      <c r="U662" s="9">
        <v>5</v>
      </c>
      <c r="V662" s="10">
        <f>Table1[[#This Row],[MARGIN '[€']]]/Table1[[#This Row],[SALES '[€']]]</f>
        <v>0.5</v>
      </c>
      <c r="W662" s="5">
        <v>9215167035</v>
      </c>
      <c r="X662" s="5" t="s">
        <v>1429</v>
      </c>
      <c r="Y662" s="4">
        <v>1572</v>
      </c>
      <c r="Z662">
        <v>6</v>
      </c>
      <c r="AA662" t="s">
        <v>163</v>
      </c>
      <c r="AL662" t="s">
        <v>61</v>
      </c>
      <c r="AN662">
        <v>921</v>
      </c>
    </row>
    <row r="663" spans="1:40" x14ac:dyDescent="0.25">
      <c r="A663" s="4">
        <v>35</v>
      </c>
      <c r="B663" t="s">
        <v>48</v>
      </c>
      <c r="C663" t="s">
        <v>49</v>
      </c>
      <c r="D663" s="5" t="s">
        <v>50</v>
      </c>
      <c r="E663" t="s">
        <v>51</v>
      </c>
      <c r="F663" s="6">
        <v>45169</v>
      </c>
      <c r="G663" s="7">
        <v>0.54166666666666696</v>
      </c>
      <c r="H663" t="s">
        <v>66</v>
      </c>
      <c r="I663" s="5">
        <v>32</v>
      </c>
      <c r="J663" t="s">
        <v>68</v>
      </c>
      <c r="K663" s="6">
        <v>45173</v>
      </c>
      <c r="L663" s="23">
        <v>0.5</v>
      </c>
      <c r="M663" s="5">
        <v>120243</v>
      </c>
      <c r="N663" s="5" t="s">
        <v>69</v>
      </c>
      <c r="O663" s="8" t="s">
        <v>56</v>
      </c>
      <c r="Q663" t="s">
        <v>1175</v>
      </c>
      <c r="R663" s="5" t="s">
        <v>71</v>
      </c>
      <c r="S663" s="9">
        <v>10</v>
      </c>
      <c r="T663" s="9">
        <v>5</v>
      </c>
      <c r="U663" s="9">
        <v>5</v>
      </c>
      <c r="V663" s="10">
        <f>Table1[[#This Row],[MARGIN '[€']]]/Table1[[#This Row],[SALES '[€']]]</f>
        <v>0.5</v>
      </c>
      <c r="W663" s="5">
        <v>9215167085</v>
      </c>
      <c r="X663" s="5" t="s">
        <v>1430</v>
      </c>
      <c r="Y663" s="4">
        <v>316</v>
      </c>
      <c r="AA663" t="s">
        <v>73</v>
      </c>
      <c r="AL663" t="s">
        <v>61</v>
      </c>
    </row>
    <row r="664" spans="1:40" x14ac:dyDescent="0.25">
      <c r="A664" s="4">
        <v>35</v>
      </c>
      <c r="B664" t="s">
        <v>48</v>
      </c>
      <c r="C664" t="s">
        <v>49</v>
      </c>
      <c r="D664" s="5" t="s">
        <v>50</v>
      </c>
      <c r="E664" t="s">
        <v>51</v>
      </c>
      <c r="F664" s="6">
        <v>45169</v>
      </c>
      <c r="G664" s="7">
        <v>0.125</v>
      </c>
      <c r="H664" t="s">
        <v>90</v>
      </c>
      <c r="I664" s="5">
        <v>24</v>
      </c>
      <c r="J664" t="s">
        <v>92</v>
      </c>
      <c r="K664" s="6">
        <v>45169</v>
      </c>
      <c r="L664" s="23">
        <v>0.49652777777777801</v>
      </c>
      <c r="M664" s="5">
        <v>120171</v>
      </c>
      <c r="N664" s="5" t="s">
        <v>69</v>
      </c>
      <c r="O664" s="8" t="s">
        <v>56</v>
      </c>
      <c r="Q664" t="s">
        <v>93</v>
      </c>
      <c r="R664" s="5" t="s">
        <v>94</v>
      </c>
      <c r="S664" s="9">
        <v>10</v>
      </c>
      <c r="T664" s="9">
        <v>5</v>
      </c>
      <c r="U664" s="9">
        <v>5</v>
      </c>
      <c r="V664" s="10">
        <f>Table1[[#This Row],[MARGIN '[€']]]/Table1[[#This Row],[SALES '[€']]]</f>
        <v>0.5</v>
      </c>
      <c r="W664" s="5">
        <v>9215167093</v>
      </c>
      <c r="X664" s="5" t="s">
        <v>1431</v>
      </c>
      <c r="Y664" s="4">
        <v>441</v>
      </c>
      <c r="Z664" t="s">
        <v>1432</v>
      </c>
      <c r="AA664" t="s">
        <v>73</v>
      </c>
      <c r="AL664" t="s">
        <v>61</v>
      </c>
    </row>
    <row r="665" spans="1:40" x14ac:dyDescent="0.25">
      <c r="A665" s="4">
        <v>35</v>
      </c>
      <c r="B665" t="s">
        <v>48</v>
      </c>
      <c r="C665" t="s">
        <v>49</v>
      </c>
      <c r="D665" s="5" t="s">
        <v>50</v>
      </c>
      <c r="E665" t="s">
        <v>51</v>
      </c>
      <c r="F665" s="6">
        <v>45169</v>
      </c>
      <c r="G665" s="7">
        <v>0.22916666666666699</v>
      </c>
      <c r="H665" t="s">
        <v>90</v>
      </c>
      <c r="I665" s="5">
        <v>24</v>
      </c>
      <c r="J665" t="s">
        <v>92</v>
      </c>
      <c r="K665" s="6">
        <v>45169</v>
      </c>
      <c r="L665" s="23">
        <v>0.55902777777777801</v>
      </c>
      <c r="M665" s="5">
        <v>120172</v>
      </c>
      <c r="N665" s="5" t="s">
        <v>69</v>
      </c>
      <c r="O665" s="8" t="s">
        <v>56</v>
      </c>
      <c r="Q665" t="s">
        <v>408</v>
      </c>
      <c r="R665" s="5" t="s">
        <v>94</v>
      </c>
      <c r="S665" s="9">
        <v>10</v>
      </c>
      <c r="T665" s="9">
        <v>5</v>
      </c>
      <c r="U665" s="9">
        <v>5</v>
      </c>
      <c r="V665" s="10">
        <f>Table1[[#This Row],[MARGIN '[€']]]/Table1[[#This Row],[SALES '[€']]]</f>
        <v>0.5</v>
      </c>
      <c r="W665" s="5">
        <v>9215167094</v>
      </c>
      <c r="X665" s="5" t="s">
        <v>1433</v>
      </c>
      <c r="Y665" s="4">
        <v>441</v>
      </c>
      <c r="Z665" t="s">
        <v>1434</v>
      </c>
      <c r="AA665" t="s">
        <v>73</v>
      </c>
      <c r="AL665" t="s">
        <v>61</v>
      </c>
    </row>
    <row r="666" spans="1:40" x14ac:dyDescent="0.25">
      <c r="A666" s="4">
        <v>35</v>
      </c>
      <c r="B666" t="s">
        <v>48</v>
      </c>
      <c r="C666" t="s">
        <v>49</v>
      </c>
      <c r="D666" s="5" t="s">
        <v>50</v>
      </c>
      <c r="E666" t="s">
        <v>51</v>
      </c>
      <c r="F666" s="6">
        <v>45169</v>
      </c>
      <c r="G666" s="7">
        <v>0.29166666666666702</v>
      </c>
      <c r="H666" t="s">
        <v>90</v>
      </c>
      <c r="I666" s="5">
        <v>24</v>
      </c>
      <c r="J666" t="s">
        <v>92</v>
      </c>
      <c r="K666" s="6">
        <v>45169</v>
      </c>
      <c r="L666" s="23">
        <v>0.6875</v>
      </c>
      <c r="M666" s="5">
        <v>120175</v>
      </c>
      <c r="N666" s="5" t="s">
        <v>69</v>
      </c>
      <c r="O666" s="8" t="s">
        <v>56</v>
      </c>
      <c r="Q666" t="s">
        <v>526</v>
      </c>
      <c r="R666" s="5" t="s">
        <v>98</v>
      </c>
      <c r="S666" s="9">
        <v>10</v>
      </c>
      <c r="T666" s="9">
        <v>5</v>
      </c>
      <c r="U666" s="9">
        <v>5</v>
      </c>
      <c r="V666" s="10">
        <f>Table1[[#This Row],[MARGIN '[€']]]/Table1[[#This Row],[SALES '[€']]]</f>
        <v>0.5</v>
      </c>
      <c r="W666" s="5">
        <v>9215167048</v>
      </c>
      <c r="X666" s="5" t="s">
        <v>1435</v>
      </c>
      <c r="Y666" s="4">
        <v>441</v>
      </c>
      <c r="Z666" t="s">
        <v>1436</v>
      </c>
      <c r="AA666" t="s">
        <v>73</v>
      </c>
      <c r="AL666" t="s">
        <v>61</v>
      </c>
    </row>
    <row r="667" spans="1:40" x14ac:dyDescent="0.25">
      <c r="A667" s="4">
        <v>35</v>
      </c>
      <c r="B667" t="s">
        <v>48</v>
      </c>
      <c r="C667" t="s">
        <v>49</v>
      </c>
      <c r="D667" s="5" t="s">
        <v>50</v>
      </c>
      <c r="E667" t="s">
        <v>51</v>
      </c>
      <c r="F667" s="6">
        <v>45169</v>
      </c>
      <c r="G667" s="7">
        <v>0.30555555555555503</v>
      </c>
      <c r="H667" t="s">
        <v>90</v>
      </c>
      <c r="I667" s="5">
        <v>24</v>
      </c>
      <c r="J667" t="s">
        <v>92</v>
      </c>
      <c r="K667" s="6">
        <v>45169</v>
      </c>
      <c r="L667" s="23">
        <v>0.75</v>
      </c>
      <c r="M667" s="5">
        <v>120177</v>
      </c>
      <c r="N667" s="5" t="s">
        <v>69</v>
      </c>
      <c r="O667" s="8" t="s">
        <v>56</v>
      </c>
      <c r="Q667" t="s">
        <v>1180</v>
      </c>
      <c r="R667" s="5" t="s">
        <v>835</v>
      </c>
      <c r="S667" s="9">
        <v>10</v>
      </c>
      <c r="T667" s="9">
        <v>5</v>
      </c>
      <c r="U667" s="9">
        <v>5</v>
      </c>
      <c r="V667" s="10">
        <f>Table1[[#This Row],[MARGIN '[€']]]/Table1[[#This Row],[SALES '[€']]]</f>
        <v>0.5</v>
      </c>
      <c r="W667" s="5">
        <v>9215167095</v>
      </c>
      <c r="X667" s="5" t="s">
        <v>1437</v>
      </c>
      <c r="Y667" s="4">
        <v>441</v>
      </c>
      <c r="Z667" t="s">
        <v>1438</v>
      </c>
      <c r="AA667" t="s">
        <v>89</v>
      </c>
      <c r="AL667" t="s">
        <v>61</v>
      </c>
    </row>
    <row r="668" spans="1:40" x14ac:dyDescent="0.25">
      <c r="A668" s="4">
        <v>35</v>
      </c>
      <c r="B668" t="s">
        <v>48</v>
      </c>
      <c r="C668" t="s">
        <v>49</v>
      </c>
      <c r="D668" s="5" t="s">
        <v>50</v>
      </c>
      <c r="E668" t="s">
        <v>51</v>
      </c>
      <c r="F668" s="6">
        <v>45169</v>
      </c>
      <c r="G668" s="7">
        <v>0.43055555555555602</v>
      </c>
      <c r="H668" t="s">
        <v>90</v>
      </c>
      <c r="I668" s="5">
        <v>24</v>
      </c>
      <c r="J668" t="s">
        <v>92</v>
      </c>
      <c r="K668" s="6">
        <v>45170</v>
      </c>
      <c r="L668" s="23">
        <v>0.24652777777777801</v>
      </c>
      <c r="M668" s="5">
        <v>120180</v>
      </c>
      <c r="N668" s="5" t="s">
        <v>55</v>
      </c>
      <c r="O668" s="8" t="s">
        <v>56</v>
      </c>
      <c r="Q668" t="s">
        <v>672</v>
      </c>
      <c r="R668" s="5" t="s">
        <v>641</v>
      </c>
      <c r="S668" s="9">
        <v>10</v>
      </c>
      <c r="T668" s="9">
        <v>5</v>
      </c>
      <c r="U668" s="9">
        <v>5</v>
      </c>
      <c r="V668" s="10">
        <f>Table1[[#This Row],[MARGIN '[€']]]/Table1[[#This Row],[SALES '[€']]]</f>
        <v>0.5</v>
      </c>
      <c r="W668" s="5">
        <v>9215167078</v>
      </c>
      <c r="X668" s="5" t="s">
        <v>1439</v>
      </c>
      <c r="Y668" s="4">
        <v>441</v>
      </c>
      <c r="Z668" t="s">
        <v>1440</v>
      </c>
      <c r="AA668" t="s">
        <v>89</v>
      </c>
      <c r="AL668" t="s">
        <v>61</v>
      </c>
    </row>
    <row r="669" spans="1:40" x14ac:dyDescent="0.25">
      <c r="A669" s="4">
        <v>35</v>
      </c>
      <c r="B669" t="s">
        <v>48</v>
      </c>
      <c r="C669" t="s">
        <v>49</v>
      </c>
      <c r="D669" s="5" t="s">
        <v>50</v>
      </c>
      <c r="E669" t="s">
        <v>51</v>
      </c>
      <c r="F669" s="6">
        <v>45169</v>
      </c>
      <c r="G669" s="7">
        <v>0.16666666666666699</v>
      </c>
      <c r="H669" t="s">
        <v>52</v>
      </c>
      <c r="I669" s="5">
        <v>35</v>
      </c>
      <c r="J669" t="s">
        <v>54</v>
      </c>
      <c r="K669" s="6">
        <v>45169</v>
      </c>
      <c r="L669" s="23">
        <v>0.75</v>
      </c>
      <c r="M669" s="5">
        <v>120194</v>
      </c>
      <c r="N669" s="5" t="s">
        <v>55</v>
      </c>
      <c r="O669" s="8" t="s">
        <v>56</v>
      </c>
      <c r="Q669" t="s">
        <v>57</v>
      </c>
      <c r="R669" s="5" t="s">
        <v>58</v>
      </c>
      <c r="S669" s="9">
        <v>10</v>
      </c>
      <c r="T669" s="9">
        <v>5</v>
      </c>
      <c r="U669" s="9">
        <v>5</v>
      </c>
      <c r="V669" s="10">
        <f>Table1[[#This Row],[MARGIN '[€']]]/Table1[[#This Row],[SALES '[€']]]</f>
        <v>0.5</v>
      </c>
      <c r="W669" s="5">
        <v>9215167101</v>
      </c>
      <c r="X669" s="5" t="s">
        <v>1441</v>
      </c>
      <c r="Y669" s="4">
        <v>82</v>
      </c>
      <c r="AA669" t="s">
        <v>89</v>
      </c>
      <c r="AL669" t="s">
        <v>61</v>
      </c>
    </row>
    <row r="670" spans="1:40" x14ac:dyDescent="0.25">
      <c r="A670" s="4">
        <v>35</v>
      </c>
      <c r="B670" t="s">
        <v>48</v>
      </c>
      <c r="C670" t="s">
        <v>49</v>
      </c>
      <c r="D670" s="5" t="s">
        <v>50</v>
      </c>
      <c r="E670" t="s">
        <v>51</v>
      </c>
      <c r="F670" s="6">
        <v>45169</v>
      </c>
      <c r="G670" s="7">
        <v>0.1875</v>
      </c>
      <c r="H670" t="s">
        <v>52</v>
      </c>
      <c r="I670" s="5">
        <v>35</v>
      </c>
      <c r="J670" t="s">
        <v>54</v>
      </c>
      <c r="K670" s="6">
        <v>45169</v>
      </c>
      <c r="L670" s="23">
        <v>0.75</v>
      </c>
      <c r="M670" s="5">
        <v>120195</v>
      </c>
      <c r="N670" s="5" t="s">
        <v>55</v>
      </c>
      <c r="O670" s="8" t="s">
        <v>56</v>
      </c>
      <c r="Q670" t="s">
        <v>62</v>
      </c>
      <c r="R670" s="5" t="s">
        <v>58</v>
      </c>
      <c r="S670" s="9">
        <v>10</v>
      </c>
      <c r="T670" s="9">
        <v>5</v>
      </c>
      <c r="U670" s="9">
        <v>5</v>
      </c>
      <c r="V670" s="10">
        <f>Table1[[#This Row],[MARGIN '[€']]]/Table1[[#This Row],[SALES '[€']]]</f>
        <v>0.5</v>
      </c>
      <c r="W670" s="5">
        <v>9215167105</v>
      </c>
      <c r="X670" s="5" t="s">
        <v>1442</v>
      </c>
      <c r="Y670" s="4">
        <v>82</v>
      </c>
      <c r="AA670" t="s">
        <v>89</v>
      </c>
      <c r="AL670" t="s">
        <v>61</v>
      </c>
    </row>
    <row r="671" spans="1:40" x14ac:dyDescent="0.25">
      <c r="A671" s="4">
        <v>35</v>
      </c>
      <c r="B671" t="s">
        <v>48</v>
      </c>
      <c r="C671" t="s">
        <v>49</v>
      </c>
      <c r="D671" s="5" t="s">
        <v>50</v>
      </c>
      <c r="E671" t="s">
        <v>51</v>
      </c>
      <c r="F671" s="6">
        <v>45169</v>
      </c>
      <c r="G671" s="7">
        <v>0.20833333333333301</v>
      </c>
      <c r="H671" t="s">
        <v>52</v>
      </c>
      <c r="I671" s="5">
        <v>35</v>
      </c>
      <c r="J671" t="s">
        <v>54</v>
      </c>
      <c r="K671" s="6">
        <v>45169</v>
      </c>
      <c r="L671" s="23">
        <v>0.75</v>
      </c>
      <c r="M671" s="5">
        <v>120196</v>
      </c>
      <c r="N671" s="5" t="s">
        <v>55</v>
      </c>
      <c r="O671" s="8" t="s">
        <v>56</v>
      </c>
      <c r="Q671" t="s">
        <v>64</v>
      </c>
      <c r="R671" s="5" t="s">
        <v>58</v>
      </c>
      <c r="S671" s="9">
        <v>10</v>
      </c>
      <c r="T671" s="9">
        <v>5</v>
      </c>
      <c r="U671" s="9">
        <v>5</v>
      </c>
      <c r="V671" s="10">
        <f>Table1[[#This Row],[MARGIN '[€']]]/Table1[[#This Row],[SALES '[€']]]</f>
        <v>0.5</v>
      </c>
      <c r="W671" s="5">
        <v>9215167108</v>
      </c>
      <c r="X671" s="5" t="s">
        <v>1443</v>
      </c>
      <c r="Y671" s="4">
        <v>82</v>
      </c>
      <c r="AA671" t="s">
        <v>89</v>
      </c>
      <c r="AL671" t="s">
        <v>61</v>
      </c>
    </row>
    <row r="672" spans="1:40" x14ac:dyDescent="0.25">
      <c r="A672" s="4">
        <v>35</v>
      </c>
      <c r="B672" t="s">
        <v>48</v>
      </c>
      <c r="C672" t="s">
        <v>49</v>
      </c>
      <c r="D672" s="5" t="s">
        <v>50</v>
      </c>
      <c r="E672" t="s">
        <v>51</v>
      </c>
      <c r="F672" s="6">
        <v>45169</v>
      </c>
      <c r="G672" s="7">
        <v>0.33333333333333298</v>
      </c>
      <c r="H672" t="s">
        <v>52</v>
      </c>
      <c r="I672" s="5">
        <v>35</v>
      </c>
      <c r="J672" t="s">
        <v>54</v>
      </c>
      <c r="K672" s="6">
        <v>45169</v>
      </c>
      <c r="L672" s="23">
        <v>0.75</v>
      </c>
      <c r="M672" s="5">
        <v>120197</v>
      </c>
      <c r="N672" s="5" t="s">
        <v>55</v>
      </c>
      <c r="O672" s="8" t="s">
        <v>56</v>
      </c>
      <c r="Q672" t="s">
        <v>57</v>
      </c>
      <c r="R672" s="5" t="s">
        <v>58</v>
      </c>
      <c r="S672" s="9">
        <v>10</v>
      </c>
      <c r="T672" s="9">
        <v>5</v>
      </c>
      <c r="U672" s="9">
        <v>5</v>
      </c>
      <c r="V672" s="10">
        <f>Table1[[#This Row],[MARGIN '[€']]]/Table1[[#This Row],[SALES '[€']]]</f>
        <v>0.5</v>
      </c>
      <c r="W672" s="5">
        <v>9215167102</v>
      </c>
      <c r="X672" s="5" t="s">
        <v>1441</v>
      </c>
      <c r="Y672" s="4">
        <v>82</v>
      </c>
      <c r="AA672" t="s">
        <v>89</v>
      </c>
      <c r="AL672" t="s">
        <v>61</v>
      </c>
    </row>
    <row r="673" spans="1:38" x14ac:dyDescent="0.25">
      <c r="A673" s="4">
        <v>35</v>
      </c>
      <c r="B673" t="s">
        <v>48</v>
      </c>
      <c r="C673" t="s">
        <v>49</v>
      </c>
      <c r="D673" s="5" t="s">
        <v>50</v>
      </c>
      <c r="E673" t="s">
        <v>51</v>
      </c>
      <c r="F673" s="6">
        <v>45169</v>
      </c>
      <c r="G673" s="7">
        <v>0.34722222222222199</v>
      </c>
      <c r="H673" t="s">
        <v>52</v>
      </c>
      <c r="I673" s="5">
        <v>35</v>
      </c>
      <c r="J673" t="s">
        <v>54</v>
      </c>
      <c r="K673" s="6">
        <v>45169</v>
      </c>
      <c r="L673" s="23">
        <v>0.75</v>
      </c>
      <c r="M673" s="5">
        <v>120198</v>
      </c>
      <c r="N673" s="5" t="s">
        <v>55</v>
      </c>
      <c r="O673" s="8" t="s">
        <v>56</v>
      </c>
      <c r="Q673" t="s">
        <v>62</v>
      </c>
      <c r="R673" s="5" t="s">
        <v>58</v>
      </c>
      <c r="S673" s="9">
        <v>10</v>
      </c>
      <c r="T673" s="9">
        <v>5</v>
      </c>
      <c r="U673" s="9">
        <v>5</v>
      </c>
      <c r="V673" s="10">
        <f>Table1[[#This Row],[MARGIN '[€']]]/Table1[[#This Row],[SALES '[€']]]</f>
        <v>0.5</v>
      </c>
      <c r="W673" s="5">
        <v>9215167106</v>
      </c>
      <c r="X673" s="5" t="s">
        <v>1442</v>
      </c>
      <c r="Y673" s="4">
        <v>82</v>
      </c>
      <c r="AA673" t="s">
        <v>89</v>
      </c>
      <c r="AL673" t="s">
        <v>61</v>
      </c>
    </row>
    <row r="674" spans="1:38" x14ac:dyDescent="0.25">
      <c r="A674" s="4">
        <v>35</v>
      </c>
      <c r="B674" t="s">
        <v>48</v>
      </c>
      <c r="C674" t="s">
        <v>49</v>
      </c>
      <c r="D674" s="5" t="s">
        <v>50</v>
      </c>
      <c r="E674" t="s">
        <v>51</v>
      </c>
      <c r="F674" s="6">
        <v>45169</v>
      </c>
      <c r="G674" s="7">
        <v>0.36111111111111099</v>
      </c>
      <c r="H674" t="s">
        <v>52</v>
      </c>
      <c r="I674" s="5">
        <v>35</v>
      </c>
      <c r="J674" t="s">
        <v>54</v>
      </c>
      <c r="K674" s="6">
        <v>45169</v>
      </c>
      <c r="L674" s="23">
        <v>0.75</v>
      </c>
      <c r="M674" s="5">
        <v>120199</v>
      </c>
      <c r="N674" s="5" t="s">
        <v>55</v>
      </c>
      <c r="O674" s="8" t="s">
        <v>56</v>
      </c>
      <c r="Q674" t="s">
        <v>64</v>
      </c>
      <c r="R674" s="5" t="s">
        <v>58</v>
      </c>
      <c r="S674" s="9">
        <v>10</v>
      </c>
      <c r="T674" s="9">
        <v>5</v>
      </c>
      <c r="U674" s="9">
        <v>5</v>
      </c>
      <c r="V674" s="10">
        <f>Table1[[#This Row],[MARGIN '[€']]]/Table1[[#This Row],[SALES '[€']]]</f>
        <v>0.5</v>
      </c>
      <c r="W674" s="5">
        <v>9215167109</v>
      </c>
      <c r="X674" s="5" t="s">
        <v>1443</v>
      </c>
      <c r="Y674" s="4">
        <v>82</v>
      </c>
      <c r="AA674" t="s">
        <v>89</v>
      </c>
      <c r="AL674" t="s">
        <v>61</v>
      </c>
    </row>
    <row r="675" spans="1:38" x14ac:dyDescent="0.25">
      <c r="A675" s="4">
        <v>35</v>
      </c>
      <c r="B675" t="s">
        <v>48</v>
      </c>
      <c r="C675" t="s">
        <v>49</v>
      </c>
      <c r="D675" s="5" t="s">
        <v>50</v>
      </c>
      <c r="E675" t="s">
        <v>51</v>
      </c>
      <c r="F675" s="6">
        <v>45169</v>
      </c>
      <c r="G675" s="7">
        <v>0.47222222222222199</v>
      </c>
      <c r="H675" t="s">
        <v>52</v>
      </c>
      <c r="I675" s="5">
        <v>35</v>
      </c>
      <c r="J675" t="s">
        <v>54</v>
      </c>
      <c r="K675" s="6">
        <v>45169</v>
      </c>
      <c r="L675" s="23">
        <v>0.75</v>
      </c>
      <c r="M675" s="5">
        <v>120200</v>
      </c>
      <c r="N675" s="5" t="s">
        <v>55</v>
      </c>
      <c r="O675" s="8" t="s">
        <v>56</v>
      </c>
      <c r="Q675" t="s">
        <v>57</v>
      </c>
      <c r="R675" s="5" t="s">
        <v>58</v>
      </c>
      <c r="S675" s="9">
        <v>10</v>
      </c>
      <c r="T675" s="9">
        <v>5</v>
      </c>
      <c r="U675" s="9">
        <v>5</v>
      </c>
      <c r="V675" s="10">
        <f>Table1[[#This Row],[MARGIN '[€']]]/Table1[[#This Row],[SALES '[€']]]</f>
        <v>0.5</v>
      </c>
      <c r="W675" s="5">
        <v>9215167104</v>
      </c>
      <c r="X675" s="5" t="s">
        <v>1441</v>
      </c>
      <c r="Y675" s="4">
        <v>82</v>
      </c>
      <c r="AA675" t="s">
        <v>89</v>
      </c>
      <c r="AL675" t="s">
        <v>61</v>
      </c>
    </row>
    <row r="676" spans="1:38" x14ac:dyDescent="0.25">
      <c r="A676" s="4">
        <v>35</v>
      </c>
      <c r="B676" t="s">
        <v>48</v>
      </c>
      <c r="C676" t="s">
        <v>49</v>
      </c>
      <c r="D676" s="5" t="s">
        <v>50</v>
      </c>
      <c r="E676" t="s">
        <v>51</v>
      </c>
      <c r="F676" s="6">
        <v>45169</v>
      </c>
      <c r="G676" s="7">
        <v>0.48611111111111099</v>
      </c>
      <c r="H676" t="s">
        <v>52</v>
      </c>
      <c r="I676" s="5">
        <v>35</v>
      </c>
      <c r="J676" t="s">
        <v>54</v>
      </c>
      <c r="K676" s="6">
        <v>45169</v>
      </c>
      <c r="L676" s="23">
        <v>0.75</v>
      </c>
      <c r="M676" s="5">
        <v>120201</v>
      </c>
      <c r="N676" s="5" t="s">
        <v>55</v>
      </c>
      <c r="O676" s="8" t="s">
        <v>56</v>
      </c>
      <c r="Q676" t="s">
        <v>62</v>
      </c>
      <c r="R676" s="5" t="s">
        <v>58</v>
      </c>
      <c r="S676" s="9">
        <v>10</v>
      </c>
      <c r="T676" s="9">
        <v>5</v>
      </c>
      <c r="U676" s="9">
        <v>5</v>
      </c>
      <c r="V676" s="10">
        <f>Table1[[#This Row],[MARGIN '[€']]]/Table1[[#This Row],[SALES '[€']]]</f>
        <v>0.5</v>
      </c>
      <c r="W676" s="5">
        <v>9215167107</v>
      </c>
      <c r="X676" s="5" t="s">
        <v>1442</v>
      </c>
      <c r="Y676" s="4">
        <v>82</v>
      </c>
      <c r="AA676" t="s">
        <v>89</v>
      </c>
      <c r="AL676" t="s">
        <v>61</v>
      </c>
    </row>
    <row r="677" spans="1:38" x14ac:dyDescent="0.25">
      <c r="A677" s="4">
        <v>35</v>
      </c>
      <c r="B677" t="s">
        <v>48</v>
      </c>
      <c r="C677" t="s">
        <v>49</v>
      </c>
      <c r="D677" s="5" t="s">
        <v>50</v>
      </c>
      <c r="E677" t="s">
        <v>51</v>
      </c>
      <c r="F677" s="6">
        <v>45169</v>
      </c>
      <c r="G677" s="7">
        <v>0.5</v>
      </c>
      <c r="H677" t="s">
        <v>52</v>
      </c>
      <c r="I677" s="5">
        <v>35</v>
      </c>
      <c r="J677" t="s">
        <v>54</v>
      </c>
      <c r="K677" s="6">
        <v>45169</v>
      </c>
      <c r="L677" s="23">
        <v>0.75</v>
      </c>
      <c r="M677" s="5">
        <v>120202</v>
      </c>
      <c r="N677" s="5" t="s">
        <v>55</v>
      </c>
      <c r="O677" s="8" t="s">
        <v>56</v>
      </c>
      <c r="Q677" t="s">
        <v>64</v>
      </c>
      <c r="R677" s="5" t="s">
        <v>58</v>
      </c>
      <c r="S677" s="9">
        <v>10</v>
      </c>
      <c r="T677" s="9">
        <v>5</v>
      </c>
      <c r="U677" s="9">
        <v>5</v>
      </c>
      <c r="V677" s="10">
        <f>Table1[[#This Row],[MARGIN '[€']]]/Table1[[#This Row],[SALES '[€']]]</f>
        <v>0.5</v>
      </c>
      <c r="W677" s="5">
        <v>9215167110</v>
      </c>
      <c r="X677" s="5" t="s">
        <v>1443</v>
      </c>
      <c r="Y677" s="4">
        <v>82</v>
      </c>
      <c r="AA677" t="s">
        <v>89</v>
      </c>
      <c r="AL677" t="s">
        <v>61</v>
      </c>
    </row>
    <row r="678" spans="1:38" x14ac:dyDescent="0.25">
      <c r="A678" s="4">
        <v>35</v>
      </c>
      <c r="B678" t="s">
        <v>137</v>
      </c>
      <c r="C678" t="s">
        <v>49</v>
      </c>
      <c r="D678" s="5" t="s">
        <v>50</v>
      </c>
      <c r="E678" t="s">
        <v>51</v>
      </c>
      <c r="F678" s="6">
        <v>45169</v>
      </c>
      <c r="G678" s="7">
        <v>0.31944444444444398</v>
      </c>
      <c r="H678" t="s">
        <v>49</v>
      </c>
      <c r="I678" s="5" t="s">
        <v>102</v>
      </c>
      <c r="J678" t="s">
        <v>103</v>
      </c>
      <c r="K678" s="6">
        <v>45169</v>
      </c>
      <c r="L678" s="23">
        <v>0.39583333333333298</v>
      </c>
      <c r="M678" s="5" t="s">
        <v>1444</v>
      </c>
      <c r="N678" s="5" t="s">
        <v>69</v>
      </c>
      <c r="O678" s="8" t="s">
        <v>56</v>
      </c>
      <c r="Q678" t="s">
        <v>944</v>
      </c>
      <c r="R678" s="5" t="s">
        <v>266</v>
      </c>
      <c r="S678" s="9">
        <v>10</v>
      </c>
      <c r="T678" s="9">
        <v>5</v>
      </c>
      <c r="U678" s="9">
        <v>5</v>
      </c>
      <c r="V678" s="10">
        <f>Table1[[#This Row],[MARGIN '[€']]]/Table1[[#This Row],[SALES '[€']]]</f>
        <v>0.5</v>
      </c>
      <c r="W678" s="5">
        <v>9215167098</v>
      </c>
      <c r="X678" s="5" t="s">
        <v>1445</v>
      </c>
      <c r="Y678" s="4">
        <v>57</v>
      </c>
      <c r="AA678" t="s">
        <v>89</v>
      </c>
      <c r="AL678" t="s">
        <v>61</v>
      </c>
    </row>
    <row r="679" spans="1:38" x14ac:dyDescent="0.25">
      <c r="A679" s="4">
        <v>35</v>
      </c>
      <c r="B679" t="s">
        <v>137</v>
      </c>
      <c r="C679" t="s">
        <v>49</v>
      </c>
      <c r="D679" s="5" t="s">
        <v>50</v>
      </c>
      <c r="E679" t="s">
        <v>51</v>
      </c>
      <c r="F679" s="6">
        <v>45169</v>
      </c>
      <c r="G679" s="7">
        <v>0.52083333333333304</v>
      </c>
      <c r="H679" t="s">
        <v>49</v>
      </c>
      <c r="I679" s="5" t="s">
        <v>102</v>
      </c>
      <c r="J679" t="s">
        <v>103</v>
      </c>
      <c r="K679" s="6">
        <v>45169</v>
      </c>
      <c r="L679" s="23">
        <v>0.58333333333333304</v>
      </c>
      <c r="M679" s="5" t="s">
        <v>1446</v>
      </c>
      <c r="N679" s="5" t="s">
        <v>69</v>
      </c>
      <c r="O679" s="8" t="s">
        <v>56</v>
      </c>
      <c r="Q679" t="s">
        <v>944</v>
      </c>
      <c r="R679" s="5" t="s">
        <v>266</v>
      </c>
      <c r="S679" s="9">
        <v>10</v>
      </c>
      <c r="T679" s="9">
        <v>5</v>
      </c>
      <c r="U679" s="9">
        <v>5</v>
      </c>
      <c r="V679" s="10">
        <f>Table1[[#This Row],[MARGIN '[€']]]/Table1[[#This Row],[SALES '[€']]]</f>
        <v>0.5</v>
      </c>
      <c r="W679" s="5">
        <v>9215167099</v>
      </c>
      <c r="X679" s="5" t="s">
        <v>1445</v>
      </c>
      <c r="Y679" s="4">
        <v>57</v>
      </c>
      <c r="AA679" t="s">
        <v>89</v>
      </c>
      <c r="AL679" t="s">
        <v>61</v>
      </c>
    </row>
    <row r="680" spans="1:38" x14ac:dyDescent="0.25">
      <c r="A680" s="4">
        <v>35</v>
      </c>
      <c r="B680" t="s">
        <v>137</v>
      </c>
      <c r="C680" t="s">
        <v>49</v>
      </c>
      <c r="D680" s="5" t="s">
        <v>50</v>
      </c>
      <c r="E680" t="s">
        <v>51</v>
      </c>
      <c r="F680" s="6">
        <v>45169</v>
      </c>
      <c r="G680" s="7">
        <v>0.66666666666666696</v>
      </c>
      <c r="H680" t="s">
        <v>49</v>
      </c>
      <c r="I680" s="5" t="s">
        <v>102</v>
      </c>
      <c r="J680" t="s">
        <v>103</v>
      </c>
      <c r="K680" s="6">
        <v>45169</v>
      </c>
      <c r="L680" s="23">
        <v>0.72916666666666696</v>
      </c>
      <c r="M680" s="5" t="s">
        <v>1447</v>
      </c>
      <c r="N680" s="5" t="s">
        <v>69</v>
      </c>
      <c r="O680" s="8" t="s">
        <v>56</v>
      </c>
      <c r="Q680" t="s">
        <v>944</v>
      </c>
      <c r="R680" s="5" t="s">
        <v>266</v>
      </c>
      <c r="S680" s="9">
        <v>10</v>
      </c>
      <c r="T680" s="9">
        <v>5</v>
      </c>
      <c r="U680" s="9">
        <v>5</v>
      </c>
      <c r="V680" s="10">
        <f>Table1[[#This Row],[MARGIN '[€']]]/Table1[[#This Row],[SALES '[€']]]</f>
        <v>0.5</v>
      </c>
      <c r="W680" s="5">
        <v>9215167100</v>
      </c>
      <c r="X680" s="5" t="s">
        <v>1445</v>
      </c>
      <c r="Y680" s="4">
        <v>57</v>
      </c>
      <c r="AA680" t="s">
        <v>89</v>
      </c>
      <c r="AL680" t="s">
        <v>61</v>
      </c>
    </row>
    <row r="681" spans="1:38" x14ac:dyDescent="0.25">
      <c r="A681" s="4">
        <v>35</v>
      </c>
      <c r="B681" t="s">
        <v>607</v>
      </c>
      <c r="C681" t="s">
        <v>49</v>
      </c>
      <c r="D681" s="5" t="s">
        <v>156</v>
      </c>
      <c r="E681" t="s">
        <v>880</v>
      </c>
      <c r="F681" s="6">
        <v>45169</v>
      </c>
      <c r="G681" s="7">
        <v>0.33333333333333298</v>
      </c>
      <c r="H681" t="s">
        <v>49</v>
      </c>
      <c r="I681" s="5" t="s">
        <v>601</v>
      </c>
      <c r="J681" t="s">
        <v>1448</v>
      </c>
      <c r="K681" s="6">
        <v>45169</v>
      </c>
      <c r="L681" s="23"/>
      <c r="M681" s="5" t="s">
        <v>1449</v>
      </c>
      <c r="N681" s="5" t="s">
        <v>55</v>
      </c>
      <c r="O681" s="8" t="s">
        <v>56</v>
      </c>
      <c r="Q681" t="s">
        <v>1450</v>
      </c>
      <c r="R681" s="5" t="s">
        <v>356</v>
      </c>
      <c r="S681" s="9">
        <v>10</v>
      </c>
      <c r="T681" s="9">
        <v>5</v>
      </c>
      <c r="U681" s="9">
        <v>5</v>
      </c>
      <c r="V681" s="10">
        <f>Table1[[#This Row],[MARGIN '[€']]]/Table1[[#This Row],[SALES '[€']]]</f>
        <v>0.5</v>
      </c>
      <c r="W681" s="5" t="s">
        <v>1451</v>
      </c>
      <c r="X681" s="5" t="s">
        <v>1452</v>
      </c>
      <c r="AL681" t="s">
        <v>61</v>
      </c>
    </row>
    <row r="682" spans="1:38" x14ac:dyDescent="0.25">
      <c r="A682" s="4">
        <v>31</v>
      </c>
      <c r="B682" t="s">
        <v>1453</v>
      </c>
      <c r="C682" t="s">
        <v>49</v>
      </c>
      <c r="D682" s="5" t="s">
        <v>50</v>
      </c>
      <c r="E682" t="s">
        <v>51</v>
      </c>
      <c r="F682" s="6">
        <v>45140</v>
      </c>
      <c r="G682" s="7">
        <v>0.1875</v>
      </c>
      <c r="H682" t="s">
        <v>52</v>
      </c>
      <c r="I682" s="5" t="s">
        <v>53</v>
      </c>
      <c r="J682" t="s">
        <v>54</v>
      </c>
      <c r="K682" s="6">
        <v>45140</v>
      </c>
      <c r="L682" s="23">
        <v>0.75</v>
      </c>
      <c r="M682" s="5">
        <v>119573</v>
      </c>
      <c r="N682" s="5" t="s">
        <v>55</v>
      </c>
      <c r="O682" s="8" t="s">
        <v>56</v>
      </c>
      <c r="Q682" t="s">
        <v>62</v>
      </c>
      <c r="R682" s="5" t="s">
        <v>1453</v>
      </c>
      <c r="S682" s="9">
        <v>10</v>
      </c>
      <c r="T682" s="9">
        <v>5</v>
      </c>
      <c r="U682" s="9">
        <v>5</v>
      </c>
      <c r="V682" s="10" t="e">
        <f>Table1[[#This Row],[MARGIN '[€']]]/Table1[[#This Row],[SALES '[€']]]</f>
        <v>#VALUE!</v>
      </c>
      <c r="W682" s="5">
        <v>9215166353</v>
      </c>
      <c r="X682" s="5" t="s">
        <v>1454</v>
      </c>
      <c r="Y682" s="4">
        <v>82</v>
      </c>
      <c r="AA682" t="s">
        <v>60</v>
      </c>
      <c r="AL682" t="s">
        <v>61</v>
      </c>
    </row>
    <row r="793" spans="28:28" x14ac:dyDescent="0.25">
      <c r="AB793" s="25"/>
    </row>
    <row r="1473" spans="19:22" x14ac:dyDescent="0.25">
      <c r="S1473" s="26"/>
      <c r="T1473" s="26"/>
      <c r="U1473" s="26"/>
      <c r="V1473" s="27"/>
    </row>
  </sheetData>
  <conditionalFormatting sqref="V1">
    <cfRule type="cellIs" dxfId="0" priority="2" operator="lessThanOrEqual">
      <formula>0</formula>
    </cfRule>
  </conditionalFormatting>
  <dataValidations count="1">
    <dataValidation type="whole" operator="greaterThan" allowBlank="1" showInputMessage="1" showErrorMessage="1" sqref="Y1" xr:uid="{00000000-0002-0000-0100-000000000000}">
      <formula1>0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3"/>
  <sheetViews>
    <sheetView showGridLines="0" topLeftCell="A30" zoomScale="130" zoomScaleNormal="130" workbookViewId="0">
      <selection activeCell="A37" sqref="A37"/>
    </sheetView>
  </sheetViews>
  <sheetFormatPr defaultColWidth="8.7109375" defaultRowHeight="15" x14ac:dyDescent="0.25"/>
  <cols>
    <col min="1" max="1" width="35.140625" customWidth="1"/>
    <col min="2" max="2" width="17.85546875" style="4" customWidth="1"/>
    <col min="3" max="3" width="15.7109375" customWidth="1"/>
    <col min="4" max="4" width="18.140625" customWidth="1"/>
    <col min="5" max="5" width="9.140625" customWidth="1"/>
    <col min="6" max="6" width="9.28515625" customWidth="1"/>
    <col min="12" max="12" width="22.85546875" customWidth="1"/>
  </cols>
  <sheetData>
    <row r="1" spans="1:11" x14ac:dyDescent="0.25">
      <c r="A1" s="28" t="s">
        <v>26</v>
      </c>
      <c r="B1" s="29" t="s">
        <v>1455</v>
      </c>
    </row>
    <row r="2" spans="1:11" x14ac:dyDescent="0.25">
      <c r="A2" s="28" t="s">
        <v>14</v>
      </c>
      <c r="B2" s="29" t="s">
        <v>1455</v>
      </c>
      <c r="J2">
        <f>5*3</f>
        <v>15</v>
      </c>
      <c r="K2">
        <f>J2*1790</f>
        <v>26850</v>
      </c>
    </row>
    <row r="3" spans="1:11" x14ac:dyDescent="0.25">
      <c r="A3" s="28" t="s">
        <v>33</v>
      </c>
      <c r="B3" s="29" t="s">
        <v>1455</v>
      </c>
    </row>
    <row r="4" spans="1:11" x14ac:dyDescent="0.25">
      <c r="A4" s="28" t="s">
        <v>7</v>
      </c>
      <c r="B4" s="29" t="s">
        <v>1455</v>
      </c>
    </row>
    <row r="5" spans="1:11" x14ac:dyDescent="0.25">
      <c r="A5" s="28" t="s">
        <v>21</v>
      </c>
      <c r="B5" s="29" t="s">
        <v>1455</v>
      </c>
    </row>
    <row r="6" spans="1:11" x14ac:dyDescent="0.25">
      <c r="A6" s="28" t="s">
        <v>44</v>
      </c>
      <c r="B6" s="29" t="s">
        <v>61</v>
      </c>
    </row>
    <row r="7" spans="1:11" x14ac:dyDescent="0.25">
      <c r="A7" s="28" t="s">
        <v>17</v>
      </c>
      <c r="B7" s="29" t="s">
        <v>1455</v>
      </c>
      <c r="I7" t="s">
        <v>6</v>
      </c>
    </row>
    <row r="8" spans="1:11" x14ac:dyDescent="0.25">
      <c r="B8"/>
    </row>
    <row r="9" spans="1:11" x14ac:dyDescent="0.25">
      <c r="A9" s="30"/>
      <c r="B9" s="31"/>
    </row>
    <row r="10" spans="1:11" x14ac:dyDescent="0.25">
      <c r="A10" s="32"/>
      <c r="B10" s="33"/>
    </row>
    <row r="11" spans="1:11" x14ac:dyDescent="0.25">
      <c r="B11"/>
    </row>
    <row r="12" spans="1:11" x14ac:dyDescent="0.25">
      <c r="B12"/>
    </row>
    <row r="13" spans="1:11" x14ac:dyDescent="0.25">
      <c r="B13"/>
    </row>
    <row r="14" spans="1:11" x14ac:dyDescent="0.25">
      <c r="B14"/>
    </row>
    <row r="15" spans="1:11" x14ac:dyDescent="0.25">
      <c r="B15"/>
    </row>
    <row r="16" spans="1:11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12" x14ac:dyDescent="0.25">
      <c r="B33"/>
    </row>
    <row r="34" spans="2:12" x14ac:dyDescent="0.25">
      <c r="B34"/>
    </row>
    <row r="35" spans="2:12" x14ac:dyDescent="0.25">
      <c r="B35"/>
    </row>
    <row r="36" spans="2:12" x14ac:dyDescent="0.25">
      <c r="B36"/>
    </row>
    <row r="37" spans="2:12" x14ac:dyDescent="0.25">
      <c r="B37"/>
    </row>
    <row r="38" spans="2:12" x14ac:dyDescent="0.25">
      <c r="B38"/>
    </row>
    <row r="39" spans="2:12" x14ac:dyDescent="0.25">
      <c r="B39"/>
      <c r="L39" s="34"/>
    </row>
    <row r="40" spans="2:12" x14ac:dyDescent="0.25">
      <c r="B40"/>
      <c r="L40" s="35"/>
    </row>
    <row r="41" spans="2:12" x14ac:dyDescent="0.25">
      <c r="B41"/>
      <c r="L41" s="27"/>
    </row>
    <row r="42" spans="2:12" x14ac:dyDescent="0.25">
      <c r="B42"/>
    </row>
    <row r="43" spans="2:12" x14ac:dyDescent="0.25">
      <c r="I43" s="34"/>
    </row>
  </sheetData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39"/>
  <sheetViews>
    <sheetView zoomScale="102" zoomScaleNormal="102" workbookViewId="0">
      <selection activeCell="E55" sqref="E55"/>
    </sheetView>
  </sheetViews>
  <sheetFormatPr defaultColWidth="8.140625" defaultRowHeight="15" x14ac:dyDescent="0.25"/>
  <cols>
    <col min="1" max="1" width="17.42578125" style="6" customWidth="1"/>
    <col min="2" max="2" width="24.42578125" customWidth="1"/>
    <col min="3" max="3" width="14.5703125" customWidth="1"/>
    <col min="4" max="4" width="15.7109375" customWidth="1"/>
    <col min="5" max="5" width="17.85546875" customWidth="1"/>
    <col min="6" max="6" width="25.7109375" customWidth="1"/>
    <col min="7" max="7" width="15.140625" style="36" customWidth="1"/>
    <col min="8" max="8" width="10.42578125" customWidth="1"/>
    <col min="9" max="9" width="21.5703125" customWidth="1"/>
    <col min="10" max="10" width="18.140625" customWidth="1"/>
    <col min="11" max="11" width="15.42578125" customWidth="1"/>
    <col min="12" max="14" width="19.42578125" customWidth="1"/>
    <col min="15" max="50" width="17.85546875" customWidth="1"/>
    <col min="51" max="51" width="11.28515625" customWidth="1"/>
    <col min="52" max="54" width="5.5703125" customWidth="1"/>
    <col min="55" max="55" width="6.85546875" customWidth="1"/>
    <col min="56" max="72" width="5.5703125" customWidth="1"/>
    <col min="73" max="73" width="6.85546875" customWidth="1"/>
    <col min="74" max="91" width="5.5703125" customWidth="1"/>
    <col min="92" max="92" width="6.85546875" customWidth="1"/>
    <col min="93" max="93" width="5.5703125" customWidth="1"/>
    <col min="94" max="94" width="6.85546875" customWidth="1"/>
    <col min="95" max="95" width="11.28515625" customWidth="1"/>
    <col min="96" max="103" width="14.7109375" customWidth="1"/>
    <col min="104" max="105" width="11.28515625" customWidth="1"/>
    <col min="106" max="308" width="10.5703125" customWidth="1"/>
    <col min="309" max="310" width="13.28515625" customWidth="1"/>
    <col min="311" max="399" width="25.140625" customWidth="1"/>
    <col min="400" max="400" width="19" customWidth="1"/>
    <col min="401" max="401" width="32.85546875" customWidth="1"/>
  </cols>
  <sheetData>
    <row r="1" spans="1:11" x14ac:dyDescent="0.25">
      <c r="D1" s="37" t="s">
        <v>24</v>
      </c>
      <c r="E1" s="38" t="s">
        <v>23</v>
      </c>
      <c r="F1" s="39" t="s">
        <v>1456</v>
      </c>
      <c r="G1" s="39" t="s">
        <v>1457</v>
      </c>
    </row>
    <row r="2" spans="1:11" x14ac:dyDescent="0.25">
      <c r="A2" s="28" t="s">
        <v>24</v>
      </c>
      <c r="B2" s="29" t="s">
        <v>1458</v>
      </c>
      <c r="G2"/>
    </row>
    <row r="3" spans="1:11" x14ac:dyDescent="0.25">
      <c r="A3" s="28" t="s">
        <v>7</v>
      </c>
      <c r="B3" s="29" t="s">
        <v>1455</v>
      </c>
      <c r="G3"/>
    </row>
    <row r="4" spans="1:11" x14ac:dyDescent="0.25">
      <c r="A4" s="28" t="s">
        <v>9</v>
      </c>
      <c r="B4" s="29" t="s">
        <v>1455</v>
      </c>
      <c r="G4"/>
    </row>
    <row r="5" spans="1:11" x14ac:dyDescent="0.25">
      <c r="A5" s="28" t="s">
        <v>14</v>
      </c>
      <c r="B5" s="29" t="s">
        <v>1455</v>
      </c>
      <c r="G5"/>
    </row>
    <row r="6" spans="1:11" x14ac:dyDescent="0.25">
      <c r="A6" s="28" t="s">
        <v>33</v>
      </c>
      <c r="B6" s="29" t="s">
        <v>1455</v>
      </c>
      <c r="G6"/>
    </row>
    <row r="7" spans="1:11" s="3" customFormat="1" x14ac:dyDescent="0.25">
      <c r="A7" s="28" t="s">
        <v>12</v>
      </c>
      <c r="B7" s="29" t="s">
        <v>1455</v>
      </c>
      <c r="C7"/>
      <c r="D7"/>
      <c r="E7"/>
      <c r="F7"/>
      <c r="G7"/>
      <c r="H7"/>
      <c r="I7"/>
      <c r="J7"/>
    </row>
    <row r="8" spans="1:11" s="3" customFormat="1" x14ac:dyDescent="0.25">
      <c r="A8"/>
      <c r="B8"/>
      <c r="C8"/>
      <c r="D8"/>
      <c r="E8"/>
      <c r="F8"/>
      <c r="G8"/>
      <c r="H8"/>
      <c r="I8"/>
      <c r="J8"/>
    </row>
    <row r="9" spans="1:11" s="3" customFormat="1" x14ac:dyDescent="0.25">
      <c r="A9" s="40"/>
      <c r="B9" s="41"/>
      <c r="C9" s="41"/>
      <c r="D9" s="41"/>
      <c r="E9" s="41"/>
      <c r="F9" s="42"/>
      <c r="G9" s="43" t="s">
        <v>1459</v>
      </c>
      <c r="H9" s="44"/>
      <c r="I9" s="44"/>
      <c r="J9" s="31"/>
      <c r="K9"/>
    </row>
    <row r="10" spans="1:11" x14ac:dyDescent="0.25">
      <c r="A10" s="45" t="s">
        <v>46</v>
      </c>
      <c r="B10" s="46" t="s">
        <v>8</v>
      </c>
      <c r="C10" s="46" t="s">
        <v>10</v>
      </c>
      <c r="D10" s="46" t="s">
        <v>11</v>
      </c>
      <c r="E10" s="46" t="s">
        <v>15</v>
      </c>
      <c r="F10" s="46" t="s">
        <v>16</v>
      </c>
      <c r="G10" s="47" t="s">
        <v>1460</v>
      </c>
      <c r="H10" s="48" t="s">
        <v>1461</v>
      </c>
      <c r="I10" s="48" t="s">
        <v>1462</v>
      </c>
      <c r="J10" s="49" t="s">
        <v>1463</v>
      </c>
    </row>
    <row r="11" spans="1:11" x14ac:dyDescent="0.25">
      <c r="A11" s="50">
        <v>921</v>
      </c>
      <c r="B11" s="51" t="s">
        <v>333</v>
      </c>
      <c r="C11" s="52" t="s">
        <v>334</v>
      </c>
      <c r="D11" s="51" t="s">
        <v>335</v>
      </c>
      <c r="E11" s="53">
        <v>59</v>
      </c>
      <c r="F11" s="54" t="s">
        <v>563</v>
      </c>
      <c r="G11" s="55">
        <v>2</v>
      </c>
      <c r="H11" s="56">
        <v>20</v>
      </c>
      <c r="I11" s="56">
        <v>10</v>
      </c>
      <c r="J11" s="57">
        <v>10</v>
      </c>
    </row>
    <row r="12" spans="1:11" x14ac:dyDescent="0.25">
      <c r="A12" s="58"/>
      <c r="B12" s="59"/>
      <c r="C12" s="60"/>
      <c r="D12" s="59"/>
      <c r="E12" s="53" t="s">
        <v>385</v>
      </c>
      <c r="F12" s="54" t="s">
        <v>386</v>
      </c>
      <c r="G12" s="55">
        <v>1</v>
      </c>
      <c r="H12" s="56">
        <v>10</v>
      </c>
      <c r="I12" s="56">
        <v>5</v>
      </c>
      <c r="J12" s="57">
        <v>5</v>
      </c>
    </row>
    <row r="13" spans="1:11" x14ac:dyDescent="0.25">
      <c r="A13" s="58"/>
      <c r="B13" s="59"/>
      <c r="C13" s="60"/>
      <c r="D13" s="59"/>
      <c r="E13" s="53" t="s">
        <v>1265</v>
      </c>
      <c r="F13" s="54" t="s">
        <v>571</v>
      </c>
      <c r="G13" s="55">
        <v>1</v>
      </c>
      <c r="H13" s="56">
        <v>10</v>
      </c>
      <c r="I13" s="56">
        <v>5</v>
      </c>
      <c r="J13" s="57">
        <v>5</v>
      </c>
    </row>
    <row r="14" spans="1:11" x14ac:dyDescent="0.25">
      <c r="A14" s="58"/>
      <c r="B14" s="59"/>
      <c r="C14" s="60"/>
      <c r="D14" s="59"/>
      <c r="E14" s="53">
        <v>62</v>
      </c>
      <c r="F14" s="54" t="s">
        <v>397</v>
      </c>
      <c r="G14" s="55">
        <v>1</v>
      </c>
      <c r="H14" s="56">
        <v>10</v>
      </c>
      <c r="I14" s="56">
        <v>5</v>
      </c>
      <c r="J14" s="57">
        <v>5</v>
      </c>
    </row>
    <row r="15" spans="1:11" x14ac:dyDescent="0.25">
      <c r="A15" s="58"/>
      <c r="B15" s="59"/>
      <c r="C15" s="60"/>
      <c r="D15" s="59"/>
      <c r="E15" s="53" t="s">
        <v>1423</v>
      </c>
      <c r="F15" s="54" t="s">
        <v>392</v>
      </c>
      <c r="G15" s="55">
        <v>1</v>
      </c>
      <c r="H15" s="56">
        <v>10</v>
      </c>
      <c r="I15" s="56">
        <v>5</v>
      </c>
      <c r="J15" s="57">
        <v>5</v>
      </c>
    </row>
    <row r="16" spans="1:11" x14ac:dyDescent="0.25">
      <c r="A16" s="58"/>
      <c r="B16" s="59"/>
      <c r="C16" s="60"/>
      <c r="D16" s="59"/>
      <c r="E16" s="53">
        <v>29</v>
      </c>
      <c r="F16" s="54" t="s">
        <v>386</v>
      </c>
      <c r="G16" s="55">
        <v>1</v>
      </c>
      <c r="H16" s="56">
        <v>10</v>
      </c>
      <c r="I16" s="56">
        <v>5</v>
      </c>
      <c r="J16" s="57">
        <v>5</v>
      </c>
    </row>
    <row r="17" spans="1:10" x14ac:dyDescent="0.25">
      <c r="A17" s="58"/>
      <c r="B17" s="59"/>
      <c r="C17" s="60"/>
      <c r="D17" s="59"/>
      <c r="E17" s="53">
        <v>68</v>
      </c>
      <c r="F17" s="54" t="s">
        <v>1165</v>
      </c>
      <c r="G17" s="55">
        <v>1</v>
      </c>
      <c r="H17" s="56">
        <v>10</v>
      </c>
      <c r="I17" s="56">
        <v>5</v>
      </c>
      <c r="J17" s="57">
        <v>5</v>
      </c>
    </row>
    <row r="18" spans="1:10" x14ac:dyDescent="0.25">
      <c r="A18" s="58"/>
      <c r="B18" s="61"/>
      <c r="C18" s="62"/>
      <c r="D18" s="61"/>
      <c r="E18" s="53">
        <v>77</v>
      </c>
      <c r="F18" s="54" t="s">
        <v>655</v>
      </c>
      <c r="G18" s="55">
        <v>1</v>
      </c>
      <c r="H18" s="56">
        <v>10</v>
      </c>
      <c r="I18" s="56">
        <v>5</v>
      </c>
      <c r="J18" s="57">
        <v>5</v>
      </c>
    </row>
    <row r="19" spans="1:10" x14ac:dyDescent="0.25">
      <c r="A19" s="63"/>
      <c r="B19" s="54" t="s">
        <v>137</v>
      </c>
      <c r="C19" s="64"/>
      <c r="D19" s="65"/>
      <c r="E19" s="64"/>
      <c r="F19" s="66"/>
      <c r="G19" s="55">
        <v>2</v>
      </c>
      <c r="H19" s="56">
        <v>20</v>
      </c>
      <c r="I19" s="56">
        <v>10</v>
      </c>
      <c r="J19" s="57">
        <v>10</v>
      </c>
    </row>
    <row r="20" spans="1:10" x14ac:dyDescent="0.25">
      <c r="A20" s="67" t="s">
        <v>1464</v>
      </c>
      <c r="B20" s="68"/>
      <c r="C20" s="69"/>
      <c r="D20" s="68"/>
      <c r="E20" s="69"/>
      <c r="F20" s="70"/>
      <c r="G20" s="71">
        <v>11</v>
      </c>
      <c r="H20" s="72">
        <v>110</v>
      </c>
      <c r="I20" s="72">
        <v>55</v>
      </c>
      <c r="J20" s="73">
        <v>55</v>
      </c>
    </row>
    <row r="21" spans="1:10" x14ac:dyDescent="0.25">
      <c r="A21" s="74" t="s">
        <v>613</v>
      </c>
      <c r="B21" s="54" t="s">
        <v>607</v>
      </c>
      <c r="C21" s="64"/>
      <c r="D21" s="65"/>
      <c r="E21" s="64"/>
      <c r="F21" s="66"/>
      <c r="G21" s="55">
        <v>7</v>
      </c>
      <c r="H21" s="56">
        <v>100</v>
      </c>
      <c r="I21" s="56">
        <v>50</v>
      </c>
      <c r="J21" s="57">
        <v>50</v>
      </c>
    </row>
    <row r="22" spans="1:10" x14ac:dyDescent="0.25">
      <c r="A22" s="67" t="s">
        <v>1465</v>
      </c>
      <c r="B22" s="68"/>
      <c r="C22" s="69"/>
      <c r="D22" s="68"/>
      <c r="E22" s="69"/>
      <c r="F22" s="70"/>
      <c r="G22" s="71">
        <v>7</v>
      </c>
      <c r="H22" s="72">
        <v>100</v>
      </c>
      <c r="I22" s="72">
        <v>50</v>
      </c>
      <c r="J22" s="73">
        <v>50</v>
      </c>
    </row>
    <row r="23" spans="1:10" x14ac:dyDescent="0.25">
      <c r="A23" s="75" t="s">
        <v>1466</v>
      </c>
      <c r="B23" s="76"/>
      <c r="C23" s="77"/>
      <c r="D23" s="76"/>
      <c r="E23" s="77"/>
      <c r="F23" s="78"/>
      <c r="G23" s="79">
        <v>18</v>
      </c>
      <c r="H23" s="80">
        <v>210</v>
      </c>
      <c r="I23" s="80">
        <v>105</v>
      </c>
      <c r="J23" s="81">
        <v>105</v>
      </c>
    </row>
    <row r="24" spans="1:10" x14ac:dyDescent="0.25">
      <c r="A24"/>
      <c r="G24"/>
    </row>
    <row r="25" spans="1:10" x14ac:dyDescent="0.25">
      <c r="A25"/>
      <c r="G25"/>
    </row>
    <row r="26" spans="1:10" x14ac:dyDescent="0.25">
      <c r="A26"/>
      <c r="G26"/>
    </row>
    <row r="27" spans="1:10" x14ac:dyDescent="0.25">
      <c r="A27"/>
      <c r="G27"/>
    </row>
    <row r="28" spans="1:10" x14ac:dyDescent="0.25">
      <c r="A28"/>
      <c r="G28"/>
    </row>
    <row r="29" spans="1:10" x14ac:dyDescent="0.25">
      <c r="A29"/>
      <c r="G29"/>
    </row>
    <row r="30" spans="1:10" x14ac:dyDescent="0.25">
      <c r="A30"/>
      <c r="G30"/>
    </row>
    <row r="31" spans="1:10" x14ac:dyDescent="0.25">
      <c r="A31"/>
      <c r="G31"/>
    </row>
    <row r="32" spans="1:10" x14ac:dyDescent="0.25">
      <c r="A32"/>
      <c r="G32"/>
    </row>
    <row r="33" spans="1:7" x14ac:dyDescent="0.25">
      <c r="A33"/>
      <c r="G33"/>
    </row>
    <row r="34" spans="1:7" x14ac:dyDescent="0.25">
      <c r="A34"/>
      <c r="G34"/>
    </row>
    <row r="35" spans="1:7" x14ac:dyDescent="0.25">
      <c r="A35"/>
      <c r="G35"/>
    </row>
    <row r="36" spans="1:7" x14ac:dyDescent="0.25">
      <c r="A36"/>
      <c r="G36"/>
    </row>
    <row r="37" spans="1:7" x14ac:dyDescent="0.25">
      <c r="A37"/>
      <c r="G37"/>
    </row>
    <row r="38" spans="1:7" x14ac:dyDescent="0.25">
      <c r="A38"/>
      <c r="G38"/>
    </row>
    <row r="39" spans="1:7" x14ac:dyDescent="0.25">
      <c r="A39"/>
      <c r="G39"/>
    </row>
    <row r="40" spans="1:7" x14ac:dyDescent="0.25">
      <c r="A40"/>
      <c r="G40"/>
    </row>
    <row r="41" spans="1:7" x14ac:dyDescent="0.25">
      <c r="A41"/>
      <c r="G41"/>
    </row>
    <row r="42" spans="1:7" x14ac:dyDescent="0.25">
      <c r="A42"/>
      <c r="G42"/>
    </row>
    <row r="43" spans="1:7" x14ac:dyDescent="0.25">
      <c r="A43"/>
      <c r="G43"/>
    </row>
    <row r="44" spans="1:7" x14ac:dyDescent="0.25">
      <c r="A44"/>
      <c r="G44"/>
    </row>
    <row r="45" spans="1:7" x14ac:dyDescent="0.25">
      <c r="A45"/>
      <c r="G45"/>
    </row>
    <row r="46" spans="1:7" x14ac:dyDescent="0.25">
      <c r="A46"/>
      <c r="G46"/>
    </row>
    <row r="47" spans="1:7" x14ac:dyDescent="0.25">
      <c r="A47"/>
      <c r="G47"/>
    </row>
    <row r="48" spans="1:7" x14ac:dyDescent="0.25">
      <c r="A48"/>
      <c r="G48"/>
    </row>
    <row r="49" spans="1:7" x14ac:dyDescent="0.25">
      <c r="A49"/>
      <c r="G49"/>
    </row>
    <row r="50" spans="1:7" x14ac:dyDescent="0.25">
      <c r="A50"/>
      <c r="G50"/>
    </row>
    <row r="51" spans="1:7" x14ac:dyDescent="0.25">
      <c r="A51"/>
      <c r="G51"/>
    </row>
    <row r="52" spans="1:7" x14ac:dyDescent="0.25">
      <c r="A52"/>
      <c r="G52"/>
    </row>
    <row r="53" spans="1:7" x14ac:dyDescent="0.25">
      <c r="A53"/>
      <c r="G53"/>
    </row>
    <row r="54" spans="1:7" x14ac:dyDescent="0.25">
      <c r="A54"/>
      <c r="G54"/>
    </row>
    <row r="55" spans="1:7" x14ac:dyDescent="0.25">
      <c r="A55"/>
      <c r="G55"/>
    </row>
    <row r="56" spans="1:7" x14ac:dyDescent="0.25">
      <c r="A56"/>
      <c r="G56"/>
    </row>
    <row r="57" spans="1:7" x14ac:dyDescent="0.25">
      <c r="A57"/>
      <c r="G57"/>
    </row>
    <row r="58" spans="1:7" x14ac:dyDescent="0.25">
      <c r="A58"/>
      <c r="G58"/>
    </row>
    <row r="59" spans="1:7" x14ac:dyDescent="0.25">
      <c r="A59"/>
      <c r="G59"/>
    </row>
    <row r="60" spans="1:7" x14ac:dyDescent="0.25">
      <c r="A60"/>
      <c r="G60"/>
    </row>
    <row r="61" spans="1:7" x14ac:dyDescent="0.25">
      <c r="A61"/>
      <c r="G61"/>
    </row>
    <row r="62" spans="1:7" x14ac:dyDescent="0.25">
      <c r="A62"/>
      <c r="G62"/>
    </row>
    <row r="63" spans="1:7" x14ac:dyDescent="0.25">
      <c r="A63"/>
      <c r="G63"/>
    </row>
    <row r="64" spans="1:7" x14ac:dyDescent="0.25">
      <c r="A64"/>
      <c r="G64"/>
    </row>
    <row r="65" spans="1:7" x14ac:dyDescent="0.25">
      <c r="A65"/>
      <c r="G65"/>
    </row>
    <row r="66" spans="1:7" x14ac:dyDescent="0.25">
      <c r="A66"/>
      <c r="G66"/>
    </row>
    <row r="67" spans="1:7" x14ac:dyDescent="0.25">
      <c r="A67"/>
      <c r="G67"/>
    </row>
    <row r="68" spans="1:7" x14ac:dyDescent="0.25">
      <c r="A68"/>
      <c r="G68"/>
    </row>
    <row r="69" spans="1:7" x14ac:dyDescent="0.25">
      <c r="A69"/>
      <c r="G69"/>
    </row>
    <row r="70" spans="1:7" x14ac:dyDescent="0.25">
      <c r="A70"/>
      <c r="G70"/>
    </row>
    <row r="71" spans="1:7" x14ac:dyDescent="0.25">
      <c r="A71"/>
      <c r="G71"/>
    </row>
    <row r="72" spans="1:7" x14ac:dyDescent="0.25">
      <c r="A72"/>
      <c r="G72"/>
    </row>
    <row r="73" spans="1:7" x14ac:dyDescent="0.25">
      <c r="A73"/>
      <c r="G73"/>
    </row>
    <row r="74" spans="1:7" x14ac:dyDescent="0.25">
      <c r="A74"/>
      <c r="G74"/>
    </row>
    <row r="75" spans="1:7" x14ac:dyDescent="0.25">
      <c r="A75"/>
      <c r="G75"/>
    </row>
    <row r="76" spans="1:7" x14ac:dyDescent="0.25">
      <c r="A76"/>
      <c r="G76"/>
    </row>
    <row r="77" spans="1:7" x14ac:dyDescent="0.25">
      <c r="A77"/>
      <c r="G77"/>
    </row>
    <row r="78" spans="1:7" x14ac:dyDescent="0.25">
      <c r="A78"/>
      <c r="G78"/>
    </row>
    <row r="79" spans="1:7" x14ac:dyDescent="0.25">
      <c r="A79"/>
      <c r="G79"/>
    </row>
    <row r="80" spans="1:7" x14ac:dyDescent="0.25">
      <c r="A80"/>
      <c r="G80"/>
    </row>
    <row r="81" spans="1:7" x14ac:dyDescent="0.25">
      <c r="A81"/>
      <c r="G81"/>
    </row>
    <row r="82" spans="1:7" x14ac:dyDescent="0.25">
      <c r="A82"/>
      <c r="G82"/>
    </row>
    <row r="83" spans="1:7" x14ac:dyDescent="0.25">
      <c r="A83"/>
      <c r="G83"/>
    </row>
    <row r="84" spans="1:7" x14ac:dyDescent="0.25">
      <c r="A84"/>
      <c r="G84"/>
    </row>
    <row r="85" spans="1:7" x14ac:dyDescent="0.25">
      <c r="A85"/>
      <c r="G85"/>
    </row>
    <row r="86" spans="1:7" x14ac:dyDescent="0.25">
      <c r="A86"/>
      <c r="G86"/>
    </row>
    <row r="87" spans="1:7" x14ac:dyDescent="0.25">
      <c r="A87"/>
      <c r="G87"/>
    </row>
    <row r="88" spans="1:7" x14ac:dyDescent="0.25">
      <c r="A88"/>
      <c r="G88"/>
    </row>
    <row r="89" spans="1:7" x14ac:dyDescent="0.25">
      <c r="A89"/>
      <c r="G89"/>
    </row>
    <row r="90" spans="1:7" x14ac:dyDescent="0.25">
      <c r="A90"/>
      <c r="G90"/>
    </row>
    <row r="91" spans="1:7" x14ac:dyDescent="0.25">
      <c r="A91"/>
      <c r="G91"/>
    </row>
    <row r="92" spans="1:7" x14ac:dyDescent="0.25">
      <c r="A92"/>
      <c r="G92"/>
    </row>
    <row r="93" spans="1:7" x14ac:dyDescent="0.25">
      <c r="A93"/>
      <c r="G93"/>
    </row>
    <row r="94" spans="1:7" x14ac:dyDescent="0.25">
      <c r="A94"/>
      <c r="G94"/>
    </row>
    <row r="95" spans="1:7" x14ac:dyDescent="0.25">
      <c r="A95"/>
      <c r="G95"/>
    </row>
    <row r="96" spans="1:7" x14ac:dyDescent="0.25">
      <c r="A96"/>
      <c r="G96"/>
    </row>
    <row r="97" spans="1:7" x14ac:dyDescent="0.25">
      <c r="A97"/>
      <c r="G97"/>
    </row>
    <row r="98" spans="1:7" x14ac:dyDescent="0.25">
      <c r="A98"/>
      <c r="G98"/>
    </row>
    <row r="99" spans="1:7" x14ac:dyDescent="0.25">
      <c r="A99"/>
      <c r="G99"/>
    </row>
    <row r="100" spans="1:7" x14ac:dyDescent="0.25">
      <c r="A100"/>
      <c r="G100"/>
    </row>
    <row r="101" spans="1:7" x14ac:dyDescent="0.25">
      <c r="A101"/>
      <c r="G101"/>
    </row>
    <row r="102" spans="1:7" x14ac:dyDescent="0.25">
      <c r="A102"/>
      <c r="G102"/>
    </row>
    <row r="103" spans="1:7" x14ac:dyDescent="0.25">
      <c r="A103"/>
      <c r="G103"/>
    </row>
    <row r="104" spans="1:7" x14ac:dyDescent="0.25">
      <c r="A104"/>
      <c r="G104"/>
    </row>
    <row r="105" spans="1:7" x14ac:dyDescent="0.25">
      <c r="A105"/>
      <c r="G105"/>
    </row>
    <row r="106" spans="1:7" x14ac:dyDescent="0.25">
      <c r="A106"/>
      <c r="G106"/>
    </row>
    <row r="107" spans="1:7" x14ac:dyDescent="0.25">
      <c r="A107"/>
      <c r="G107"/>
    </row>
    <row r="108" spans="1:7" x14ac:dyDescent="0.25">
      <c r="A108"/>
      <c r="G108"/>
    </row>
    <row r="109" spans="1:7" x14ac:dyDescent="0.25">
      <c r="A109"/>
      <c r="G109"/>
    </row>
    <row r="110" spans="1:7" x14ac:dyDescent="0.25">
      <c r="A110"/>
      <c r="G110"/>
    </row>
    <row r="111" spans="1:7" x14ac:dyDescent="0.25">
      <c r="A111"/>
      <c r="G111"/>
    </row>
    <row r="112" spans="1:7" x14ac:dyDescent="0.25">
      <c r="A112"/>
      <c r="G112"/>
    </row>
    <row r="113" spans="1:7" x14ac:dyDescent="0.25">
      <c r="A113"/>
      <c r="G113"/>
    </row>
    <row r="114" spans="1:7" x14ac:dyDescent="0.25">
      <c r="A114"/>
      <c r="G114"/>
    </row>
    <row r="115" spans="1:7" x14ac:dyDescent="0.25">
      <c r="A115"/>
      <c r="G115"/>
    </row>
    <row r="116" spans="1:7" x14ac:dyDescent="0.25">
      <c r="A116"/>
      <c r="G116"/>
    </row>
    <row r="117" spans="1:7" x14ac:dyDescent="0.25">
      <c r="A117"/>
      <c r="G117"/>
    </row>
    <row r="118" spans="1:7" x14ac:dyDescent="0.25">
      <c r="A118"/>
      <c r="G118"/>
    </row>
    <row r="119" spans="1:7" x14ac:dyDescent="0.25">
      <c r="A119"/>
      <c r="G119"/>
    </row>
    <row r="120" spans="1:7" x14ac:dyDescent="0.25">
      <c r="A120"/>
      <c r="G120"/>
    </row>
    <row r="121" spans="1:7" x14ac:dyDescent="0.25">
      <c r="A121"/>
      <c r="G121"/>
    </row>
    <row r="122" spans="1:7" x14ac:dyDescent="0.25">
      <c r="A122"/>
      <c r="G122"/>
    </row>
    <row r="123" spans="1:7" x14ac:dyDescent="0.25">
      <c r="A123"/>
      <c r="G123"/>
    </row>
    <row r="124" spans="1:7" x14ac:dyDescent="0.25">
      <c r="A124"/>
      <c r="G124"/>
    </row>
    <row r="125" spans="1:7" x14ac:dyDescent="0.25">
      <c r="A125"/>
      <c r="G125"/>
    </row>
    <row r="126" spans="1:7" x14ac:dyDescent="0.25">
      <c r="A126"/>
      <c r="G126"/>
    </row>
    <row r="127" spans="1:7" x14ac:dyDescent="0.25">
      <c r="A127"/>
      <c r="G127"/>
    </row>
    <row r="128" spans="1:7" x14ac:dyDescent="0.25">
      <c r="A128"/>
      <c r="G128"/>
    </row>
    <row r="129" spans="1:7" x14ac:dyDescent="0.25">
      <c r="A129"/>
      <c r="G129"/>
    </row>
    <row r="130" spans="1:7" x14ac:dyDescent="0.25">
      <c r="A130"/>
      <c r="G130"/>
    </row>
    <row r="131" spans="1:7" x14ac:dyDescent="0.25">
      <c r="A131"/>
      <c r="G131"/>
    </row>
    <row r="132" spans="1:7" x14ac:dyDescent="0.25">
      <c r="A132"/>
      <c r="G132"/>
    </row>
    <row r="133" spans="1:7" x14ac:dyDescent="0.25">
      <c r="A133"/>
      <c r="G133"/>
    </row>
    <row r="134" spans="1:7" x14ac:dyDescent="0.25">
      <c r="A134"/>
      <c r="G134"/>
    </row>
    <row r="135" spans="1:7" x14ac:dyDescent="0.25">
      <c r="A135"/>
      <c r="G135"/>
    </row>
    <row r="136" spans="1:7" x14ac:dyDescent="0.25">
      <c r="A136"/>
      <c r="G136"/>
    </row>
    <row r="137" spans="1:7" x14ac:dyDescent="0.25">
      <c r="A137"/>
      <c r="G137"/>
    </row>
    <row r="138" spans="1:7" x14ac:dyDescent="0.25">
      <c r="A138"/>
      <c r="G138"/>
    </row>
    <row r="139" spans="1:7" x14ac:dyDescent="0.25">
      <c r="A139"/>
      <c r="G13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21"/>
  <sheetViews>
    <sheetView zoomScale="85" zoomScaleNormal="85" workbookViewId="0">
      <selection activeCell="K35" sqref="K35"/>
    </sheetView>
  </sheetViews>
  <sheetFormatPr defaultColWidth="8.140625" defaultRowHeight="15" x14ac:dyDescent="0.25"/>
  <cols>
    <col min="1" max="1" width="25.5703125" style="6" customWidth="1"/>
    <col min="2" max="2" width="21" customWidth="1"/>
    <col min="3" max="3" width="16.5703125" hidden="1" customWidth="1"/>
    <col min="4" max="4" width="12" hidden="1" customWidth="1"/>
    <col min="5" max="5" width="20.42578125" hidden="1" customWidth="1"/>
    <col min="6" max="6" width="11.28515625" customWidth="1"/>
    <col min="7" max="7" width="15.140625" style="36" customWidth="1"/>
    <col min="8" max="8" width="21.5703125" customWidth="1"/>
    <col min="9" max="9" width="18.42578125" customWidth="1"/>
    <col min="10" max="10" width="16" customWidth="1"/>
    <col min="11" max="11" width="10.5703125" customWidth="1"/>
    <col min="12" max="12" width="18.85546875" customWidth="1"/>
    <col min="13" max="13" width="10.42578125" customWidth="1"/>
    <col min="14" max="14" width="18.28515625" customWidth="1"/>
    <col min="15" max="50" width="17.85546875" customWidth="1"/>
    <col min="51" max="51" width="11.28515625" customWidth="1"/>
    <col min="52" max="54" width="5.5703125" customWidth="1"/>
    <col min="55" max="55" width="6.85546875" customWidth="1"/>
    <col min="56" max="72" width="5.5703125" customWidth="1"/>
    <col min="73" max="73" width="6.85546875" customWidth="1"/>
    <col min="74" max="91" width="5.5703125" customWidth="1"/>
    <col min="92" max="92" width="6.85546875" customWidth="1"/>
    <col min="93" max="93" width="5.5703125" customWidth="1"/>
    <col min="94" max="94" width="6.85546875" customWidth="1"/>
    <col min="95" max="95" width="11.28515625" customWidth="1"/>
    <col min="96" max="103" width="14.7109375" customWidth="1"/>
    <col min="104" max="105" width="11.28515625" customWidth="1"/>
    <col min="106" max="308" width="10.5703125" customWidth="1"/>
    <col min="309" max="310" width="13.28515625" customWidth="1"/>
    <col min="311" max="399" width="25.140625" customWidth="1"/>
    <col min="400" max="400" width="19" customWidth="1"/>
    <col min="401" max="401" width="32.85546875" customWidth="1"/>
  </cols>
  <sheetData>
    <row r="1" spans="1:12" x14ac:dyDescent="0.25">
      <c r="D1" s="37" t="s">
        <v>24</v>
      </c>
      <c r="E1" s="38" t="s">
        <v>23</v>
      </c>
      <c r="F1" s="39" t="s">
        <v>1456</v>
      </c>
      <c r="G1" s="39" t="s">
        <v>1457</v>
      </c>
    </row>
    <row r="2" spans="1:12" x14ac:dyDescent="0.25">
      <c r="A2" s="28" t="s">
        <v>7</v>
      </c>
      <c r="B2" s="29" t="s">
        <v>1455</v>
      </c>
      <c r="D2" s="82" t="s">
        <v>1467</v>
      </c>
      <c r="E2" s="83" t="s">
        <v>1468</v>
      </c>
      <c r="F2" s="84">
        <v>1.1200000000000001</v>
      </c>
      <c r="G2" s="84" t="s">
        <v>1469</v>
      </c>
    </row>
    <row r="3" spans="1:12" x14ac:dyDescent="0.25">
      <c r="A3" s="28" t="s">
        <v>8</v>
      </c>
      <c r="B3" s="29" t="s">
        <v>1455</v>
      </c>
      <c r="D3" s="85" t="s">
        <v>1467</v>
      </c>
      <c r="E3" s="86"/>
      <c r="F3" s="87">
        <v>1.1200000000000001</v>
      </c>
      <c r="G3" s="87" t="s">
        <v>55</v>
      </c>
    </row>
    <row r="4" spans="1:12" x14ac:dyDescent="0.25">
      <c r="A4" s="28" t="s">
        <v>9</v>
      </c>
      <c r="B4" s="29" t="s">
        <v>1455</v>
      </c>
      <c r="D4" s="85" t="s">
        <v>1470</v>
      </c>
      <c r="E4" s="86" t="s">
        <v>1471</v>
      </c>
      <c r="F4" s="87">
        <v>1.1200000000000001</v>
      </c>
      <c r="G4" s="87" t="s">
        <v>55</v>
      </c>
    </row>
    <row r="5" spans="1:12" x14ac:dyDescent="0.25">
      <c r="A5" s="28" t="s">
        <v>14</v>
      </c>
      <c r="B5" s="29" t="s">
        <v>1455</v>
      </c>
      <c r="D5" s="85" t="s">
        <v>1472</v>
      </c>
      <c r="E5" s="86" t="s">
        <v>1473</v>
      </c>
      <c r="F5" s="87">
        <v>1.1200000000000001</v>
      </c>
      <c r="G5" s="87" t="s">
        <v>55</v>
      </c>
    </row>
    <row r="6" spans="1:12" x14ac:dyDescent="0.25">
      <c r="A6" s="28" t="s">
        <v>33</v>
      </c>
      <c r="B6" s="29" t="s">
        <v>1455</v>
      </c>
    </row>
    <row r="7" spans="1:12" s="3" customFormat="1" x14ac:dyDescent="0.25">
      <c r="A7" s="28" t="s">
        <v>22</v>
      </c>
      <c r="B7" s="29" t="s">
        <v>1455</v>
      </c>
      <c r="G7" s="36"/>
    </row>
    <row r="8" spans="1:12" s="3" customFormat="1" x14ac:dyDescent="0.25">
      <c r="A8"/>
      <c r="B8"/>
    </row>
    <row r="9" spans="1:12" s="3" customFormat="1" x14ac:dyDescent="0.25">
      <c r="A9" s="30"/>
      <c r="B9" s="31"/>
      <c r="C9"/>
      <c r="D9"/>
      <c r="E9"/>
      <c r="F9"/>
      <c r="G9"/>
      <c r="H9"/>
      <c r="I9"/>
      <c r="J9"/>
      <c r="K9"/>
      <c r="L9"/>
    </row>
    <row r="10" spans="1:12" x14ac:dyDescent="0.25">
      <c r="A10" s="32"/>
      <c r="B10" s="33"/>
      <c r="G10"/>
    </row>
    <row r="11" spans="1:12" x14ac:dyDescent="0.25">
      <c r="A11"/>
      <c r="G11"/>
    </row>
    <row r="12" spans="1:12" x14ac:dyDescent="0.25">
      <c r="A12"/>
      <c r="G12"/>
    </row>
    <row r="13" spans="1:12" x14ac:dyDescent="0.25">
      <c r="A13"/>
      <c r="G13"/>
    </row>
    <row r="14" spans="1:12" x14ac:dyDescent="0.25">
      <c r="A14"/>
      <c r="G14"/>
    </row>
    <row r="15" spans="1:12" x14ac:dyDescent="0.25">
      <c r="A15"/>
      <c r="G15"/>
    </row>
    <row r="16" spans="1:12" x14ac:dyDescent="0.25">
      <c r="A16"/>
      <c r="G16"/>
    </row>
    <row r="17" spans="1:7" x14ac:dyDescent="0.25">
      <c r="A17"/>
      <c r="G17"/>
    </row>
    <row r="18" spans="1:7" x14ac:dyDescent="0.25">
      <c r="A18"/>
      <c r="G18"/>
    </row>
    <row r="19" spans="1:7" x14ac:dyDescent="0.25">
      <c r="A19"/>
      <c r="G19"/>
    </row>
    <row r="20" spans="1:7" x14ac:dyDescent="0.25">
      <c r="A20"/>
      <c r="G20"/>
    </row>
    <row r="21" spans="1:7" x14ac:dyDescent="0.25">
      <c r="A21"/>
      <c r="G21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RE95"/>
  <sheetViews>
    <sheetView topLeftCell="A7" zoomScale="85" zoomScaleNormal="85" workbookViewId="0">
      <selection activeCell="E46" sqref="E46"/>
    </sheetView>
  </sheetViews>
  <sheetFormatPr defaultColWidth="22" defaultRowHeight="15" x14ac:dyDescent="0.25"/>
  <cols>
    <col min="1" max="1" width="20.85546875" style="6" customWidth="1"/>
    <col min="472" max="472" width="27" customWidth="1"/>
    <col min="473" max="473" width="25.140625" customWidth="1"/>
    <col min="556" max="556" width="27" customWidth="1"/>
    <col min="557" max="557" width="25.140625" customWidth="1"/>
    <col min="620" max="620" width="27" customWidth="1"/>
    <col min="621" max="621" width="25.140625" customWidth="1"/>
    <col min="622" max="725" width="22.42578125" customWidth="1"/>
    <col min="726" max="726" width="11.28515625" customWidth="1"/>
    <col min="727" max="971" width="18.7109375" customWidth="1"/>
    <col min="972" max="1024" width="8.7109375" customWidth="1"/>
  </cols>
  <sheetData>
    <row r="4" spans="1:473" x14ac:dyDescent="0.25">
      <c r="A4" s="28" t="s">
        <v>8</v>
      </c>
      <c r="B4" s="29" t="s">
        <v>1455</v>
      </c>
    </row>
    <row r="5" spans="1:473" x14ac:dyDescent="0.25">
      <c r="A5" s="28" t="s">
        <v>18</v>
      </c>
      <c r="B5" s="29" t="s">
        <v>1474</v>
      </c>
    </row>
    <row r="6" spans="1:473" x14ac:dyDescent="0.25">
      <c r="A6" s="28" t="s">
        <v>21</v>
      </c>
      <c r="B6" s="29" t="s">
        <v>1455</v>
      </c>
    </row>
    <row r="7" spans="1:473" s="3" customFormat="1" x14ac:dyDescent="0.25">
      <c r="A7"/>
      <c r="B7"/>
      <c r="C7"/>
      <c r="D7"/>
      <c r="E7"/>
    </row>
    <row r="8" spans="1:473" s="90" customFormat="1" x14ac:dyDescent="0.25">
      <c r="A8" s="88"/>
      <c r="B8" s="43" t="s">
        <v>12</v>
      </c>
      <c r="C8" s="43" t="s">
        <v>1459</v>
      </c>
      <c r="D8" s="41"/>
      <c r="E8" s="89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</row>
    <row r="9" spans="1:473" s="3" customFormat="1" x14ac:dyDescent="0.25">
      <c r="A9" s="91"/>
      <c r="B9" s="92">
        <v>45169</v>
      </c>
      <c r="C9" s="93"/>
      <c r="D9" s="94" t="s">
        <v>1475</v>
      </c>
      <c r="E9" s="95" t="s">
        <v>1476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</row>
    <row r="10" spans="1:473" x14ac:dyDescent="0.25">
      <c r="A10" s="45" t="s">
        <v>24</v>
      </c>
      <c r="B10" s="96" t="s">
        <v>1477</v>
      </c>
      <c r="C10" s="66" t="s">
        <v>1462</v>
      </c>
      <c r="D10" s="97"/>
      <c r="E10" s="98"/>
    </row>
    <row r="11" spans="1:473" x14ac:dyDescent="0.25">
      <c r="A11" s="99" t="s">
        <v>356</v>
      </c>
      <c r="B11" s="55">
        <v>1</v>
      </c>
      <c r="C11" s="100">
        <v>5</v>
      </c>
      <c r="D11" s="101">
        <v>1</v>
      </c>
      <c r="E11" s="102">
        <v>5</v>
      </c>
    </row>
    <row r="12" spans="1:473" x14ac:dyDescent="0.25">
      <c r="A12" s="103" t="s">
        <v>1466</v>
      </c>
      <c r="B12" s="79">
        <v>1</v>
      </c>
      <c r="C12" s="104">
        <v>5</v>
      </c>
      <c r="D12" s="105">
        <v>1</v>
      </c>
      <c r="E12" s="106">
        <v>5</v>
      </c>
    </row>
    <row r="13" spans="1:473" x14ac:dyDescent="0.25">
      <c r="A13"/>
    </row>
    <row r="14" spans="1:473" x14ac:dyDescent="0.25">
      <c r="A14"/>
    </row>
    <row r="15" spans="1:473" x14ac:dyDescent="0.25">
      <c r="A15"/>
    </row>
    <row r="16" spans="1:473" x14ac:dyDescent="0.25">
      <c r="A16"/>
    </row>
    <row r="17" spans="1:3" x14ac:dyDescent="0.25">
      <c r="A17"/>
    </row>
    <row r="18" spans="1:3" x14ac:dyDescent="0.25">
      <c r="A18"/>
    </row>
    <row r="19" spans="1:3" x14ac:dyDescent="0.25">
      <c r="A19"/>
    </row>
    <row r="20" spans="1:3" x14ac:dyDescent="0.25">
      <c r="A20"/>
    </row>
    <row r="21" spans="1:3" x14ac:dyDescent="0.25">
      <c r="A21"/>
    </row>
    <row r="22" spans="1:3" x14ac:dyDescent="0.25">
      <c r="A22"/>
    </row>
    <row r="23" spans="1:3" x14ac:dyDescent="0.25">
      <c r="A23"/>
    </row>
    <row r="24" spans="1:3" x14ac:dyDescent="0.25">
      <c r="A24"/>
    </row>
    <row r="25" spans="1:3" x14ac:dyDescent="0.25">
      <c r="A25"/>
    </row>
    <row r="26" spans="1:3" x14ac:dyDescent="0.25">
      <c r="A26"/>
    </row>
    <row r="27" spans="1:3" x14ac:dyDescent="0.25">
      <c r="A27"/>
    </row>
    <row r="28" spans="1:3" x14ac:dyDescent="0.25">
      <c r="A28"/>
    </row>
    <row r="32" spans="1:3" x14ac:dyDescent="0.25">
      <c r="A32" s="107" t="s">
        <v>1478</v>
      </c>
      <c r="B32" s="108" t="s">
        <v>1479</v>
      </c>
      <c r="C32" s="108" t="s">
        <v>1480</v>
      </c>
    </row>
    <row r="33" spans="1:3" x14ac:dyDescent="0.25">
      <c r="A33" s="109" t="s">
        <v>1481</v>
      </c>
      <c r="B33" s="110" t="s">
        <v>1482</v>
      </c>
      <c r="C33" s="111" t="s">
        <v>98</v>
      </c>
    </row>
    <row r="34" spans="1:3" x14ac:dyDescent="0.25">
      <c r="A34" s="109" t="s">
        <v>1483</v>
      </c>
      <c r="B34" s="110" t="s">
        <v>1484</v>
      </c>
      <c r="C34" s="111" t="s">
        <v>1485</v>
      </c>
    </row>
    <row r="35" spans="1:3" x14ac:dyDescent="0.25">
      <c r="A35" s="109" t="s">
        <v>1486</v>
      </c>
      <c r="B35" s="110" t="s">
        <v>1487</v>
      </c>
      <c r="C35" s="111" t="s">
        <v>1488</v>
      </c>
    </row>
    <row r="36" spans="1:3" x14ac:dyDescent="0.25">
      <c r="A36" s="109" t="s">
        <v>1489</v>
      </c>
      <c r="B36" s="110" t="s">
        <v>1490</v>
      </c>
      <c r="C36" s="111" t="s">
        <v>641</v>
      </c>
    </row>
    <row r="37" spans="1:3" x14ac:dyDescent="0.25">
      <c r="A37" s="109" t="s">
        <v>1491</v>
      </c>
      <c r="B37" s="110" t="s">
        <v>1492</v>
      </c>
      <c r="C37" s="111" t="s">
        <v>94</v>
      </c>
    </row>
    <row r="38" spans="1:3" x14ac:dyDescent="0.25">
      <c r="A38" s="109" t="s">
        <v>1493</v>
      </c>
      <c r="B38" s="110" t="s">
        <v>1494</v>
      </c>
      <c r="C38" s="111" t="s">
        <v>485</v>
      </c>
    </row>
    <row r="39" spans="1:3" x14ac:dyDescent="0.25">
      <c r="A39" s="109" t="s">
        <v>1495</v>
      </c>
      <c r="B39" s="110" t="s">
        <v>1496</v>
      </c>
      <c r="C39" s="111" t="s">
        <v>1497</v>
      </c>
    </row>
    <row r="40" spans="1:3" x14ac:dyDescent="0.25">
      <c r="A40" s="109" t="s">
        <v>1498</v>
      </c>
      <c r="B40" s="110" t="s">
        <v>1498</v>
      </c>
      <c r="C40" s="112" t="s">
        <v>738</v>
      </c>
    </row>
    <row r="41" spans="1:3" x14ac:dyDescent="0.25">
      <c r="A41" s="109" t="s">
        <v>1499</v>
      </c>
      <c r="B41" s="110" t="s">
        <v>1500</v>
      </c>
      <c r="C41" s="111" t="s">
        <v>1501</v>
      </c>
    </row>
    <row r="42" spans="1:3" x14ac:dyDescent="0.25">
      <c r="A42" s="109" t="s">
        <v>1502</v>
      </c>
      <c r="B42" s="110" t="s">
        <v>1502</v>
      </c>
      <c r="C42" s="111" t="s">
        <v>1033</v>
      </c>
    </row>
    <row r="43" spans="1:3" x14ac:dyDescent="0.25">
      <c r="A43" s="109" t="s">
        <v>1503</v>
      </c>
      <c r="B43" s="110" t="s">
        <v>1504</v>
      </c>
      <c r="C43" s="111" t="s">
        <v>1505</v>
      </c>
    </row>
    <row r="44" spans="1:3" x14ac:dyDescent="0.25">
      <c r="A44" s="109" t="s">
        <v>1506</v>
      </c>
      <c r="B44" s="110" t="s">
        <v>1507</v>
      </c>
      <c r="C44" s="111" t="s">
        <v>584</v>
      </c>
    </row>
    <row r="45" spans="1:3" x14ac:dyDescent="0.25">
      <c r="A45" s="109" t="s">
        <v>1508</v>
      </c>
      <c r="B45" s="110" t="s">
        <v>1509</v>
      </c>
      <c r="C45" s="111" t="s">
        <v>399</v>
      </c>
    </row>
    <row r="46" spans="1:3" x14ac:dyDescent="0.25">
      <c r="A46" s="109" t="s">
        <v>1510</v>
      </c>
      <c r="B46" s="110" t="s">
        <v>1511</v>
      </c>
      <c r="C46" s="112" t="s">
        <v>1110</v>
      </c>
    </row>
    <row r="47" spans="1:3" x14ac:dyDescent="0.25">
      <c r="A47" s="109" t="s">
        <v>1512</v>
      </c>
      <c r="B47" s="110" t="s">
        <v>1513</v>
      </c>
      <c r="C47" s="111" t="s">
        <v>1514</v>
      </c>
    </row>
    <row r="48" spans="1:3" x14ac:dyDescent="0.25">
      <c r="A48" s="109" t="s">
        <v>1515</v>
      </c>
      <c r="B48" s="110" t="s">
        <v>1516</v>
      </c>
      <c r="C48" s="111" t="s">
        <v>356</v>
      </c>
    </row>
    <row r="49" spans="1:9" x14ac:dyDescent="0.25">
      <c r="A49" s="109" t="s">
        <v>1517</v>
      </c>
      <c r="B49" s="110" t="s">
        <v>1518</v>
      </c>
      <c r="C49" s="111" t="s">
        <v>1519</v>
      </c>
    </row>
    <row r="50" spans="1:9" x14ac:dyDescent="0.25">
      <c r="A50" s="109" t="s">
        <v>1520</v>
      </c>
      <c r="B50" s="110" t="s">
        <v>1521</v>
      </c>
      <c r="C50" s="111" t="s">
        <v>201</v>
      </c>
    </row>
    <row r="51" spans="1:9" x14ac:dyDescent="0.25">
      <c r="A51" s="109" t="s">
        <v>1522</v>
      </c>
      <c r="B51" s="110" t="s">
        <v>1523</v>
      </c>
      <c r="C51" s="111" t="s">
        <v>58</v>
      </c>
    </row>
    <row r="52" spans="1:9" x14ac:dyDescent="0.25">
      <c r="A52" s="109" t="s">
        <v>1524</v>
      </c>
      <c r="B52" s="110" t="s">
        <v>1525</v>
      </c>
      <c r="C52" s="112" t="s">
        <v>578</v>
      </c>
    </row>
    <row r="53" spans="1:9" x14ac:dyDescent="0.25">
      <c r="A53" s="109" t="s">
        <v>1526</v>
      </c>
      <c r="B53" s="110" t="s">
        <v>1527</v>
      </c>
      <c r="C53" s="111" t="s">
        <v>266</v>
      </c>
    </row>
    <row r="57" spans="1:9" x14ac:dyDescent="0.25">
      <c r="A57" s="113" t="s">
        <v>24</v>
      </c>
      <c r="B57" s="114" t="s">
        <v>1528</v>
      </c>
      <c r="C57" s="114" t="s">
        <v>1529</v>
      </c>
      <c r="D57" s="114" t="s">
        <v>1530</v>
      </c>
      <c r="E57" s="114" t="s">
        <v>1531</v>
      </c>
      <c r="H57" s="115" t="s">
        <v>1531</v>
      </c>
    </row>
    <row r="58" spans="1:9" x14ac:dyDescent="0.25">
      <c r="A58" s="29" t="s">
        <v>1505</v>
      </c>
      <c r="B58" s="116">
        <v>3</v>
      </c>
      <c r="C58" s="116">
        <v>2</v>
      </c>
      <c r="D58" s="116"/>
      <c r="E58" s="116"/>
    </row>
    <row r="59" spans="1:9" x14ac:dyDescent="0.25">
      <c r="A59" s="29" t="s">
        <v>1488</v>
      </c>
      <c r="B59" s="116">
        <v>10</v>
      </c>
      <c r="C59" s="116">
        <v>10</v>
      </c>
      <c r="D59" s="116">
        <v>14</v>
      </c>
      <c r="E59" s="116">
        <v>13</v>
      </c>
      <c r="G59" t="s">
        <v>1488</v>
      </c>
      <c r="H59" s="4">
        <v>14</v>
      </c>
      <c r="I59" s="4">
        <v>16130</v>
      </c>
    </row>
    <row r="60" spans="1:9" x14ac:dyDescent="0.25">
      <c r="A60" s="29" t="s">
        <v>1497</v>
      </c>
      <c r="B60" s="116">
        <v>46</v>
      </c>
      <c r="C60" s="116">
        <v>10</v>
      </c>
      <c r="D60" s="116">
        <v>43</v>
      </c>
      <c r="E60" s="116">
        <v>29</v>
      </c>
      <c r="G60" t="s">
        <v>1497</v>
      </c>
      <c r="H60" s="4">
        <v>43</v>
      </c>
      <c r="I60" s="4">
        <v>10195</v>
      </c>
    </row>
    <row r="61" spans="1:9" x14ac:dyDescent="0.25">
      <c r="A61" s="29" t="s">
        <v>584</v>
      </c>
      <c r="B61" s="116">
        <v>24</v>
      </c>
      <c r="C61" s="116">
        <v>17</v>
      </c>
      <c r="D61" s="116">
        <v>19</v>
      </c>
      <c r="E61" s="116">
        <v>12</v>
      </c>
      <c r="G61" t="s">
        <v>584</v>
      </c>
      <c r="H61" s="4">
        <v>19</v>
      </c>
      <c r="I61" s="4">
        <v>32350</v>
      </c>
    </row>
    <row r="62" spans="1:9" x14ac:dyDescent="0.25">
      <c r="A62" s="29" t="s">
        <v>1501</v>
      </c>
      <c r="B62" s="116"/>
      <c r="C62" s="116">
        <v>2</v>
      </c>
      <c r="D62" s="116"/>
      <c r="E62" s="116"/>
      <c r="G62" t="s">
        <v>399</v>
      </c>
      <c r="H62" s="4">
        <v>9</v>
      </c>
      <c r="I62" s="4">
        <v>17170</v>
      </c>
    </row>
    <row r="63" spans="1:9" x14ac:dyDescent="0.25">
      <c r="A63" s="29" t="s">
        <v>399</v>
      </c>
      <c r="B63" s="116">
        <v>12</v>
      </c>
      <c r="C63" s="116">
        <v>10</v>
      </c>
      <c r="D63" s="116">
        <v>9</v>
      </c>
      <c r="E63" s="116">
        <v>4</v>
      </c>
    </row>
    <row r="64" spans="1:9" x14ac:dyDescent="0.25">
      <c r="A64" s="29" t="s">
        <v>1033</v>
      </c>
      <c r="B64" s="116">
        <v>12</v>
      </c>
      <c r="C64" s="116">
        <v>7</v>
      </c>
      <c r="D64" s="116">
        <v>4</v>
      </c>
      <c r="E64" s="116">
        <v>8</v>
      </c>
      <c r="G64" t="s">
        <v>1033</v>
      </c>
      <c r="H64" s="4">
        <v>4</v>
      </c>
      <c r="I64" s="4">
        <v>4700</v>
      </c>
    </row>
    <row r="65" spans="1:9" x14ac:dyDescent="0.25">
      <c r="A65" s="29" t="s">
        <v>356</v>
      </c>
      <c r="B65" s="116">
        <v>8</v>
      </c>
      <c r="C65" s="116">
        <v>17</v>
      </c>
      <c r="D65" s="116">
        <v>11</v>
      </c>
      <c r="E65" s="116">
        <v>4</v>
      </c>
      <c r="G65" t="s">
        <v>356</v>
      </c>
      <c r="H65" s="4">
        <v>11</v>
      </c>
      <c r="I65" s="4">
        <v>8830</v>
      </c>
    </row>
    <row r="66" spans="1:9" x14ac:dyDescent="0.25">
      <c r="A66" s="29" t="s">
        <v>1519</v>
      </c>
      <c r="B66" s="116">
        <v>1</v>
      </c>
      <c r="C66" s="116">
        <v>2</v>
      </c>
      <c r="D66" s="116"/>
      <c r="E66" s="116"/>
    </row>
    <row r="67" spans="1:9" x14ac:dyDescent="0.25">
      <c r="A67" s="29" t="s">
        <v>485</v>
      </c>
      <c r="B67" s="116">
        <v>15</v>
      </c>
      <c r="C67" s="116">
        <v>15</v>
      </c>
      <c r="D67" s="116">
        <v>7</v>
      </c>
      <c r="E67" s="116">
        <v>10</v>
      </c>
      <c r="G67" t="s">
        <v>485</v>
      </c>
      <c r="H67" s="4">
        <v>7</v>
      </c>
      <c r="I67" s="4">
        <v>10980</v>
      </c>
    </row>
    <row r="68" spans="1:9" x14ac:dyDescent="0.25">
      <c r="A68" s="29" t="s">
        <v>641</v>
      </c>
      <c r="B68" s="116">
        <v>3</v>
      </c>
      <c r="C68" s="116">
        <v>3</v>
      </c>
      <c r="D68" s="116">
        <v>8</v>
      </c>
      <c r="E68" s="116">
        <v>5</v>
      </c>
      <c r="G68" t="s">
        <v>641</v>
      </c>
      <c r="H68" s="4">
        <v>8</v>
      </c>
      <c r="I68" s="4">
        <v>12080</v>
      </c>
    </row>
    <row r="69" spans="1:9" x14ac:dyDescent="0.25">
      <c r="A69" s="29" t="s">
        <v>1485</v>
      </c>
      <c r="B69" s="116">
        <v>12</v>
      </c>
      <c r="C69" s="116">
        <v>10</v>
      </c>
      <c r="D69" s="116">
        <v>11</v>
      </c>
      <c r="E69" s="116">
        <v>12</v>
      </c>
      <c r="G69" t="s">
        <v>1485</v>
      </c>
      <c r="H69" s="4">
        <v>11</v>
      </c>
      <c r="I69" s="4">
        <v>21150</v>
      </c>
    </row>
    <row r="70" spans="1:9" x14ac:dyDescent="0.25">
      <c r="A70" s="29" t="s">
        <v>201</v>
      </c>
      <c r="B70" s="116">
        <v>7</v>
      </c>
      <c r="C70" s="116">
        <v>17</v>
      </c>
      <c r="D70" s="116">
        <v>9</v>
      </c>
      <c r="E70" s="116">
        <v>8</v>
      </c>
      <c r="G70" t="s">
        <v>201</v>
      </c>
      <c r="H70" s="4">
        <v>9</v>
      </c>
      <c r="I70" s="4">
        <v>4655</v>
      </c>
    </row>
    <row r="71" spans="1:9" x14ac:dyDescent="0.25">
      <c r="A71" s="29" t="s">
        <v>98</v>
      </c>
      <c r="B71" s="116">
        <v>16</v>
      </c>
      <c r="C71" s="116">
        <v>6</v>
      </c>
      <c r="D71" s="116">
        <v>2</v>
      </c>
      <c r="E71" s="116">
        <v>11</v>
      </c>
      <c r="G71" t="s">
        <v>98</v>
      </c>
      <c r="H71" s="4">
        <v>2</v>
      </c>
      <c r="I71" s="4">
        <v>1580</v>
      </c>
    </row>
    <row r="72" spans="1:9" x14ac:dyDescent="0.25">
      <c r="A72" s="29" t="s">
        <v>94</v>
      </c>
      <c r="B72" s="116">
        <v>30</v>
      </c>
      <c r="C72" s="116">
        <v>29</v>
      </c>
      <c r="D72" s="116">
        <v>34</v>
      </c>
      <c r="E72" s="116">
        <v>23</v>
      </c>
      <c r="G72" t="s">
        <v>94</v>
      </c>
      <c r="H72" s="4">
        <v>34</v>
      </c>
      <c r="I72" s="4">
        <v>19105</v>
      </c>
    </row>
    <row r="73" spans="1:9" x14ac:dyDescent="0.25">
      <c r="A73" s="29" t="s">
        <v>266</v>
      </c>
      <c r="B73" s="116">
        <v>16</v>
      </c>
      <c r="C73" s="116">
        <v>20</v>
      </c>
      <c r="D73" s="116">
        <v>25</v>
      </c>
      <c r="E73" s="116">
        <v>6</v>
      </c>
      <c r="G73" t="s">
        <v>266</v>
      </c>
      <c r="H73" s="4">
        <v>25</v>
      </c>
      <c r="I73" s="4">
        <v>5250</v>
      </c>
    </row>
    <row r="74" spans="1:9" x14ac:dyDescent="0.25">
      <c r="A74" s="117" t="s">
        <v>1532</v>
      </c>
      <c r="B74" s="118">
        <v>215</v>
      </c>
      <c r="C74" s="118">
        <v>177</v>
      </c>
      <c r="D74" s="118">
        <v>196</v>
      </c>
      <c r="E74" s="118">
        <f>SUM(E58:E73)</f>
        <v>145</v>
      </c>
      <c r="G74" s="119" t="s">
        <v>1532</v>
      </c>
      <c r="H74" s="120">
        <v>196</v>
      </c>
      <c r="I74" s="120">
        <v>164175</v>
      </c>
    </row>
    <row r="77" spans="1:9" x14ac:dyDescent="0.25">
      <c r="A77" s="6" t="s">
        <v>1533</v>
      </c>
    </row>
    <row r="78" spans="1:9" x14ac:dyDescent="0.25">
      <c r="A78" s="113" t="s">
        <v>24</v>
      </c>
      <c r="B78" s="114" t="s">
        <v>1528</v>
      </c>
      <c r="C78" s="114" t="s">
        <v>1529</v>
      </c>
      <c r="D78" s="114" t="s">
        <v>1530</v>
      </c>
      <c r="E78" s="121" t="s">
        <v>1534</v>
      </c>
      <c r="F78" s="121" t="s">
        <v>1535</v>
      </c>
    </row>
    <row r="79" spans="1:9" x14ac:dyDescent="0.25">
      <c r="A79" s="29" t="s">
        <v>1505</v>
      </c>
      <c r="B79" s="116">
        <v>3</v>
      </c>
      <c r="C79" s="116">
        <v>2</v>
      </c>
      <c r="D79" s="116"/>
      <c r="E79" s="122"/>
      <c r="F79" s="116"/>
    </row>
    <row r="80" spans="1:9" x14ac:dyDescent="0.25">
      <c r="A80" s="29" t="s">
        <v>1488</v>
      </c>
      <c r="B80" s="116">
        <v>10</v>
      </c>
      <c r="C80" s="116">
        <v>10</v>
      </c>
      <c r="D80" s="116">
        <v>14</v>
      </c>
      <c r="E80" s="122">
        <v>16130</v>
      </c>
      <c r="F80" s="116" t="s">
        <v>1536</v>
      </c>
    </row>
    <row r="81" spans="1:6" x14ac:dyDescent="0.25">
      <c r="A81" s="29" t="s">
        <v>1497</v>
      </c>
      <c r="B81" s="116">
        <v>46</v>
      </c>
      <c r="C81" s="116">
        <v>10</v>
      </c>
      <c r="D81" s="116">
        <v>43</v>
      </c>
      <c r="E81" s="122">
        <v>10195</v>
      </c>
      <c r="F81" s="116"/>
    </row>
    <row r="82" spans="1:6" x14ac:dyDescent="0.25">
      <c r="A82" s="29" t="s">
        <v>584</v>
      </c>
      <c r="B82" s="116">
        <v>24</v>
      </c>
      <c r="C82" s="116">
        <v>17</v>
      </c>
      <c r="D82" s="116">
        <v>19</v>
      </c>
      <c r="E82" s="122">
        <v>32350</v>
      </c>
      <c r="F82" s="116" t="s">
        <v>1537</v>
      </c>
    </row>
    <row r="83" spans="1:6" x14ac:dyDescent="0.25">
      <c r="A83" s="29" t="s">
        <v>1501</v>
      </c>
      <c r="B83" s="116"/>
      <c r="C83" s="116">
        <v>2</v>
      </c>
      <c r="D83" s="116"/>
      <c r="E83" s="122">
        <v>17170</v>
      </c>
      <c r="F83" s="116"/>
    </row>
    <row r="84" spans="1:6" x14ac:dyDescent="0.25">
      <c r="A84" s="29" t="s">
        <v>399</v>
      </c>
      <c r="B84" s="116">
        <v>12</v>
      </c>
      <c r="C84" s="116">
        <v>10</v>
      </c>
      <c r="D84" s="116">
        <v>9</v>
      </c>
      <c r="E84" s="122"/>
      <c r="F84" s="116"/>
    </row>
    <row r="85" spans="1:6" x14ac:dyDescent="0.25">
      <c r="A85" s="29" t="s">
        <v>1033</v>
      </c>
      <c r="B85" s="116">
        <v>12</v>
      </c>
      <c r="C85" s="116">
        <v>7</v>
      </c>
      <c r="D85" s="116">
        <v>4</v>
      </c>
      <c r="E85" s="122">
        <v>4700</v>
      </c>
      <c r="F85" s="116"/>
    </row>
    <row r="86" spans="1:6" x14ac:dyDescent="0.25">
      <c r="A86" s="29" t="s">
        <v>356</v>
      </c>
      <c r="B86" s="116">
        <v>8</v>
      </c>
      <c r="C86" s="116">
        <v>17</v>
      </c>
      <c r="D86" s="116">
        <v>11</v>
      </c>
      <c r="E86" s="122">
        <v>8830</v>
      </c>
      <c r="F86" s="116"/>
    </row>
    <row r="87" spans="1:6" x14ac:dyDescent="0.25">
      <c r="A87" s="29" t="s">
        <v>1519</v>
      </c>
      <c r="B87" s="116">
        <v>1</v>
      </c>
      <c r="C87" s="116">
        <v>2</v>
      </c>
      <c r="D87" s="116"/>
      <c r="E87" s="122"/>
      <c r="F87" s="116"/>
    </row>
    <row r="88" spans="1:6" x14ac:dyDescent="0.25">
      <c r="A88" s="29" t="s">
        <v>485</v>
      </c>
      <c r="B88" s="116">
        <v>15</v>
      </c>
      <c r="C88" s="116">
        <v>15</v>
      </c>
      <c r="D88" s="116">
        <v>7</v>
      </c>
      <c r="E88" s="122">
        <v>10980</v>
      </c>
      <c r="F88" s="116"/>
    </row>
    <row r="89" spans="1:6" x14ac:dyDescent="0.25">
      <c r="A89" s="29" t="s">
        <v>641</v>
      </c>
      <c r="B89" s="116">
        <v>3</v>
      </c>
      <c r="C89" s="116">
        <v>3</v>
      </c>
      <c r="D89" s="116">
        <v>8</v>
      </c>
      <c r="E89" s="122">
        <v>12080</v>
      </c>
      <c r="F89" s="116"/>
    </row>
    <row r="90" spans="1:6" x14ac:dyDescent="0.25">
      <c r="A90" s="29" t="s">
        <v>1485</v>
      </c>
      <c r="B90" s="116">
        <v>12</v>
      </c>
      <c r="C90" s="116">
        <v>10</v>
      </c>
      <c r="D90" s="116">
        <v>11</v>
      </c>
      <c r="E90" s="122">
        <v>21150</v>
      </c>
      <c r="F90" s="116" t="s">
        <v>1538</v>
      </c>
    </row>
    <row r="91" spans="1:6" x14ac:dyDescent="0.25">
      <c r="A91" s="29" t="s">
        <v>201</v>
      </c>
      <c r="B91" s="116">
        <v>7</v>
      </c>
      <c r="C91" s="116">
        <v>17</v>
      </c>
      <c r="D91" s="116">
        <v>9</v>
      </c>
      <c r="E91" s="122">
        <v>4655</v>
      </c>
      <c r="F91" s="116"/>
    </row>
    <row r="92" spans="1:6" x14ac:dyDescent="0.25">
      <c r="A92" s="29" t="s">
        <v>98</v>
      </c>
      <c r="B92" s="116">
        <v>16</v>
      </c>
      <c r="C92" s="116">
        <v>6</v>
      </c>
      <c r="D92" s="116">
        <v>2</v>
      </c>
      <c r="E92" s="122">
        <v>1580</v>
      </c>
      <c r="F92" s="116"/>
    </row>
    <row r="93" spans="1:6" x14ac:dyDescent="0.25">
      <c r="A93" s="29" t="s">
        <v>94</v>
      </c>
      <c r="B93" s="116">
        <v>30</v>
      </c>
      <c r="C93" s="116">
        <v>29</v>
      </c>
      <c r="D93" s="116">
        <v>34</v>
      </c>
      <c r="E93" s="122">
        <v>19105</v>
      </c>
      <c r="F93" s="116"/>
    </row>
    <row r="94" spans="1:6" x14ac:dyDescent="0.25">
      <c r="A94" s="29" t="s">
        <v>266</v>
      </c>
      <c r="B94" s="116">
        <v>16</v>
      </c>
      <c r="C94" s="116">
        <v>20</v>
      </c>
      <c r="D94" s="116">
        <v>25</v>
      </c>
      <c r="E94" s="122">
        <v>5250</v>
      </c>
      <c r="F94" s="116"/>
    </row>
    <row r="95" spans="1:6" x14ac:dyDescent="0.25">
      <c r="A95" s="117" t="s">
        <v>1532</v>
      </c>
      <c r="B95" s="118">
        <v>215</v>
      </c>
      <c r="C95" s="118">
        <v>177</v>
      </c>
      <c r="D95" s="118">
        <v>196</v>
      </c>
      <c r="E95" s="123">
        <f>SUM(E79:E94)</f>
        <v>164175</v>
      </c>
      <c r="F95" s="118"/>
    </row>
  </sheetData>
  <conditionalFormatting sqref="B59 D59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B60 D60">
    <cfRule type="iconSet" priority="3">
      <iconSet iconSet="3Arrows">
        <cfvo type="percent" val="0"/>
        <cfvo type="percent" val="5"/>
        <cfvo type="percent" val="95"/>
      </iconSet>
    </cfRule>
  </conditionalFormatting>
  <conditionalFormatting sqref="B61 D61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B63 D63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64 D64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65 D65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B67 D67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B68 D68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B69 D69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B70 D70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71 D71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72 D72">
    <cfRule type="iconSet" priority="13">
      <iconSet iconSet="3Arrows">
        <cfvo type="percent" val="0"/>
        <cfvo type="percent" val="33"/>
        <cfvo type="percent" val="67"/>
      </iconSet>
    </cfRule>
  </conditionalFormatting>
  <conditionalFormatting sqref="B73 D73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D58:E5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0 D80">
    <cfRule type="iconSet" priority="16">
      <iconSet iconSet="3Arrows">
        <cfvo type="percent" val="0"/>
        <cfvo type="percent" val="33"/>
        <cfvo type="percent" val="67"/>
      </iconSet>
    </cfRule>
  </conditionalFormatting>
  <conditionalFormatting sqref="B81 D81">
    <cfRule type="iconSet" priority="17">
      <iconSet iconSet="3Arrows">
        <cfvo type="percent" val="0"/>
        <cfvo type="percent" val="5"/>
        <cfvo type="percent" val="95"/>
      </iconSet>
    </cfRule>
  </conditionalFormatting>
  <conditionalFormatting sqref="B82 D82">
    <cfRule type="iconSet" priority="18">
      <iconSet iconSet="3Arrows">
        <cfvo type="percent" val="0"/>
        <cfvo type="percent" val="33"/>
        <cfvo type="percent" val="67"/>
      </iconSet>
    </cfRule>
  </conditionalFormatting>
  <conditionalFormatting sqref="B84 D84">
    <cfRule type="iconSet" priority="19">
      <iconSet iconSet="3Arrows">
        <cfvo type="percent" val="0"/>
        <cfvo type="percent" val="33"/>
        <cfvo type="percent" val="67"/>
      </iconSet>
    </cfRule>
  </conditionalFormatting>
  <conditionalFormatting sqref="B85 D85">
    <cfRule type="iconSet" priority="20">
      <iconSet iconSet="3Arrows">
        <cfvo type="percent" val="0"/>
        <cfvo type="percent" val="33"/>
        <cfvo type="percent" val="67"/>
      </iconSet>
    </cfRule>
  </conditionalFormatting>
  <conditionalFormatting sqref="B86 D86">
    <cfRule type="iconSet" priority="21">
      <iconSet iconSet="3Arrows">
        <cfvo type="percent" val="0"/>
        <cfvo type="percent" val="33"/>
        <cfvo type="percent" val="67"/>
      </iconSet>
    </cfRule>
  </conditionalFormatting>
  <conditionalFormatting sqref="B88 D88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B89 D89">
    <cfRule type="iconSet" priority="23">
      <iconSet iconSet="3Arrows">
        <cfvo type="percent" val="0"/>
        <cfvo type="percent" val="33"/>
        <cfvo type="percent" val="67"/>
      </iconSet>
    </cfRule>
  </conditionalFormatting>
  <conditionalFormatting sqref="B90 D90">
    <cfRule type="iconSet" priority="24">
      <iconSet iconSet="3Arrows">
        <cfvo type="percent" val="0"/>
        <cfvo type="percent" val="33"/>
        <cfvo type="percent" val="67"/>
      </iconSet>
    </cfRule>
  </conditionalFormatting>
  <conditionalFormatting sqref="B91 D91">
    <cfRule type="iconSet" priority="25">
      <iconSet iconSet="3Arrows">
        <cfvo type="percent" val="0"/>
        <cfvo type="percent" val="33"/>
        <cfvo type="percent" val="67"/>
      </iconSet>
    </cfRule>
  </conditionalFormatting>
  <conditionalFormatting sqref="B92 D92">
    <cfRule type="iconSet" priority="26">
      <iconSet iconSet="3Arrows">
        <cfvo type="percent" val="0"/>
        <cfvo type="percent" val="33"/>
        <cfvo type="percent" val="67"/>
      </iconSet>
    </cfRule>
  </conditionalFormatting>
  <conditionalFormatting sqref="B93 D93">
    <cfRule type="iconSet" priority="27">
      <iconSet iconSet="3Arrows">
        <cfvo type="percent" val="0"/>
        <cfvo type="percent" val="33"/>
        <cfvo type="percent" val="67"/>
      </iconSet>
    </cfRule>
  </conditionalFormatting>
  <conditionalFormatting sqref="B94 D94">
    <cfRule type="iconSet" priority="28">
      <iconSet iconSet="3Arrows">
        <cfvo type="percent" val="0"/>
        <cfvo type="percent" val="33"/>
        <cfvo type="percent" val="67"/>
      </iconSet>
    </cfRule>
  </conditionalFormatting>
  <conditionalFormatting sqref="D79 F7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4:JR28"/>
  <sheetViews>
    <sheetView zoomScale="96" zoomScaleNormal="96" workbookViewId="0">
      <selection activeCell="A8" sqref="A8"/>
    </sheetView>
  </sheetViews>
  <sheetFormatPr defaultColWidth="8.140625" defaultRowHeight="15" x14ac:dyDescent="0.25"/>
  <cols>
    <col min="1" max="1" width="18.85546875" style="6" customWidth="1"/>
    <col min="2" max="6" width="17.85546875" customWidth="1"/>
    <col min="7" max="7" width="17.85546875" style="36" customWidth="1"/>
    <col min="8" max="277" width="17.85546875" customWidth="1"/>
    <col min="278" max="278" width="11.140625" customWidth="1"/>
    <col min="279" max="309" width="10.5703125" customWidth="1"/>
    <col min="310" max="311" width="13.28515625" customWidth="1"/>
    <col min="312" max="400" width="25.140625" customWidth="1"/>
    <col min="401" max="401" width="19" customWidth="1"/>
    <col min="402" max="402" width="32.85546875" customWidth="1"/>
  </cols>
  <sheetData>
    <row r="4" spans="1:278" x14ac:dyDescent="0.25">
      <c r="A4" s="28" t="s">
        <v>8</v>
      </c>
      <c r="B4" s="29" t="s">
        <v>1458</v>
      </c>
      <c r="G4"/>
    </row>
    <row r="5" spans="1:278" x14ac:dyDescent="0.25">
      <c r="A5" s="28" t="s">
        <v>9</v>
      </c>
      <c r="B5" s="29" t="s">
        <v>1455</v>
      </c>
      <c r="G5"/>
    </row>
    <row r="6" spans="1:278" x14ac:dyDescent="0.25">
      <c r="A6" s="28" t="s">
        <v>14</v>
      </c>
      <c r="B6" s="29" t="s">
        <v>1455</v>
      </c>
      <c r="G6"/>
    </row>
    <row r="7" spans="1:278" s="3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278" s="3" customFormat="1" x14ac:dyDescent="0.25">
      <c r="A8" s="88" t="s">
        <v>1539</v>
      </c>
      <c r="B8" s="43" t="s">
        <v>12</v>
      </c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31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</row>
    <row r="9" spans="1:278" s="3" customFormat="1" x14ac:dyDescent="0.25">
      <c r="A9" s="45" t="s">
        <v>16</v>
      </c>
      <c r="B9" s="124">
        <v>45139</v>
      </c>
      <c r="C9" s="125">
        <v>45140</v>
      </c>
      <c r="D9" s="125">
        <v>45141</v>
      </c>
      <c r="E9" s="125">
        <v>45142</v>
      </c>
      <c r="F9" s="125">
        <v>45144</v>
      </c>
      <c r="G9" s="125">
        <v>45145</v>
      </c>
      <c r="H9" s="125">
        <v>45146</v>
      </c>
      <c r="I9" s="125">
        <v>45147</v>
      </c>
      <c r="J9" s="125">
        <v>45148</v>
      </c>
      <c r="K9" s="125">
        <v>45149</v>
      </c>
      <c r="L9" s="125">
        <v>45150</v>
      </c>
      <c r="M9" s="125">
        <v>45151</v>
      </c>
      <c r="N9" s="125">
        <v>45152</v>
      </c>
      <c r="O9" s="125">
        <v>45153</v>
      </c>
      <c r="P9" s="125">
        <v>45154</v>
      </c>
      <c r="Q9" s="125">
        <v>45155</v>
      </c>
      <c r="R9" s="125">
        <v>45156</v>
      </c>
      <c r="S9" s="125">
        <v>45157</v>
      </c>
      <c r="T9" s="125">
        <v>45158</v>
      </c>
      <c r="U9" s="125">
        <v>45159</v>
      </c>
      <c r="V9" s="125">
        <v>45160</v>
      </c>
      <c r="W9" s="125">
        <v>45161</v>
      </c>
      <c r="X9" s="125">
        <v>45162</v>
      </c>
      <c r="Y9" s="125">
        <v>45163</v>
      </c>
      <c r="Z9" s="125">
        <v>45165</v>
      </c>
      <c r="AA9" s="125">
        <v>45166</v>
      </c>
      <c r="AB9" s="125">
        <v>45167</v>
      </c>
      <c r="AC9" s="125">
        <v>45168</v>
      </c>
      <c r="AD9" s="125">
        <v>45169</v>
      </c>
      <c r="AE9" s="126" t="s">
        <v>1466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</row>
    <row r="10" spans="1:278" s="3" customFormat="1" x14ac:dyDescent="0.25">
      <c r="A10" s="50" t="s">
        <v>140</v>
      </c>
      <c r="B10" s="127"/>
      <c r="C10" s="128">
        <v>1</v>
      </c>
      <c r="D10" s="128">
        <v>2</v>
      </c>
      <c r="E10" s="128">
        <v>1</v>
      </c>
      <c r="F10" s="128"/>
      <c r="G10" s="128"/>
      <c r="H10" s="128">
        <v>1</v>
      </c>
      <c r="I10" s="128">
        <v>1</v>
      </c>
      <c r="J10" s="128">
        <v>1</v>
      </c>
      <c r="K10" s="128"/>
      <c r="L10" s="128">
        <v>1</v>
      </c>
      <c r="M10" s="128"/>
      <c r="N10" s="128">
        <v>1</v>
      </c>
      <c r="O10" s="128"/>
      <c r="P10" s="128"/>
      <c r="Q10" s="128">
        <v>1</v>
      </c>
      <c r="R10" s="128"/>
      <c r="S10" s="128"/>
      <c r="T10" s="128"/>
      <c r="U10" s="128"/>
      <c r="V10" s="128"/>
      <c r="W10" s="128"/>
      <c r="X10" s="128"/>
      <c r="Y10" s="128"/>
      <c r="Z10" s="128"/>
      <c r="AA10" s="128"/>
      <c r="AB10" s="128"/>
      <c r="AC10" s="128"/>
      <c r="AD10" s="129">
        <v>1</v>
      </c>
      <c r="AE10" s="130">
        <v>11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</row>
    <row r="11" spans="1:278" x14ac:dyDescent="0.25">
      <c r="A11" s="58" t="s">
        <v>54</v>
      </c>
      <c r="B11" s="131">
        <v>6</v>
      </c>
      <c r="C11" s="132">
        <v>7</v>
      </c>
      <c r="D11" s="132">
        <v>4</v>
      </c>
      <c r="E11" s="132"/>
      <c r="F11" s="132"/>
      <c r="G11" s="132">
        <v>6</v>
      </c>
      <c r="H11" s="132">
        <v>6</v>
      </c>
      <c r="I11" s="132">
        <v>6</v>
      </c>
      <c r="J11" s="132">
        <v>6</v>
      </c>
      <c r="K11" s="132"/>
      <c r="L11" s="132"/>
      <c r="M11" s="132"/>
      <c r="N11" s="132">
        <v>9</v>
      </c>
      <c r="O11" s="132">
        <v>6</v>
      </c>
      <c r="P11" s="132">
        <v>9</v>
      </c>
      <c r="Q11" s="132">
        <v>9</v>
      </c>
      <c r="R11" s="132">
        <v>3</v>
      </c>
      <c r="S11" s="132"/>
      <c r="T11" s="132"/>
      <c r="U11" s="132">
        <v>9</v>
      </c>
      <c r="V11" s="132">
        <v>6</v>
      </c>
      <c r="W11" s="132">
        <v>6</v>
      </c>
      <c r="X11" s="132">
        <v>6</v>
      </c>
      <c r="Y11" s="132">
        <v>7</v>
      </c>
      <c r="Z11" s="132"/>
      <c r="AA11" s="132"/>
      <c r="AB11" s="132"/>
      <c r="AC11" s="132">
        <v>9</v>
      </c>
      <c r="AD11" s="133">
        <v>9</v>
      </c>
      <c r="AE11" s="134">
        <v>129</v>
      </c>
    </row>
    <row r="12" spans="1:278" x14ac:dyDescent="0.25">
      <c r="A12" s="58" t="s">
        <v>85</v>
      </c>
      <c r="B12" s="131">
        <v>1</v>
      </c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>
        <v>2</v>
      </c>
      <c r="R12" s="132">
        <v>3</v>
      </c>
      <c r="S12" s="132"/>
      <c r="T12" s="132"/>
      <c r="U12" s="132">
        <v>7</v>
      </c>
      <c r="V12" s="132">
        <v>7</v>
      </c>
      <c r="W12" s="132">
        <v>4</v>
      </c>
      <c r="X12" s="132">
        <v>2</v>
      </c>
      <c r="Y12" s="132">
        <v>4</v>
      </c>
      <c r="Z12" s="132"/>
      <c r="AA12" s="132"/>
      <c r="AB12" s="132"/>
      <c r="AC12" s="132">
        <v>4</v>
      </c>
      <c r="AD12" s="133"/>
      <c r="AE12" s="134">
        <v>34</v>
      </c>
    </row>
    <row r="13" spans="1:278" x14ac:dyDescent="0.25">
      <c r="A13" s="58" t="s">
        <v>92</v>
      </c>
      <c r="B13" s="131">
        <v>8</v>
      </c>
      <c r="C13" s="132">
        <v>9</v>
      </c>
      <c r="D13" s="132">
        <v>5</v>
      </c>
      <c r="E13" s="132">
        <v>1</v>
      </c>
      <c r="F13" s="132">
        <v>2</v>
      </c>
      <c r="G13" s="132">
        <v>4</v>
      </c>
      <c r="H13" s="132">
        <v>9</v>
      </c>
      <c r="I13" s="132">
        <v>4</v>
      </c>
      <c r="J13" s="132">
        <v>3</v>
      </c>
      <c r="K13" s="132">
        <v>4</v>
      </c>
      <c r="L13" s="132"/>
      <c r="M13" s="132">
        <v>1</v>
      </c>
      <c r="N13" s="132">
        <v>2</v>
      </c>
      <c r="O13" s="132">
        <v>3</v>
      </c>
      <c r="P13" s="132">
        <v>8</v>
      </c>
      <c r="Q13" s="132">
        <v>4</v>
      </c>
      <c r="R13" s="132">
        <v>1</v>
      </c>
      <c r="S13" s="132"/>
      <c r="T13" s="132">
        <v>1</v>
      </c>
      <c r="U13" s="132">
        <v>3</v>
      </c>
      <c r="V13" s="132">
        <v>5</v>
      </c>
      <c r="W13" s="132">
        <v>4</v>
      </c>
      <c r="X13" s="132">
        <v>3</v>
      </c>
      <c r="Y13" s="132">
        <v>2</v>
      </c>
      <c r="Z13" s="132">
        <v>2</v>
      </c>
      <c r="AA13" s="132">
        <v>9</v>
      </c>
      <c r="AB13" s="132">
        <v>4</v>
      </c>
      <c r="AC13" s="132">
        <v>9</v>
      </c>
      <c r="AD13" s="133">
        <v>5</v>
      </c>
      <c r="AE13" s="134">
        <v>115</v>
      </c>
    </row>
    <row r="14" spans="1:278" x14ac:dyDescent="0.25">
      <c r="A14" s="58" t="s">
        <v>305</v>
      </c>
      <c r="B14" s="131"/>
      <c r="C14" s="132"/>
      <c r="D14" s="132"/>
      <c r="E14" s="132">
        <v>1</v>
      </c>
      <c r="F14" s="132"/>
      <c r="G14" s="132">
        <v>1</v>
      </c>
      <c r="H14" s="132">
        <v>2</v>
      </c>
      <c r="I14" s="132">
        <v>1</v>
      </c>
      <c r="J14" s="132">
        <v>1</v>
      </c>
      <c r="K14" s="132"/>
      <c r="L14" s="132"/>
      <c r="M14" s="132">
        <v>1</v>
      </c>
      <c r="N14" s="132"/>
      <c r="O14" s="132"/>
      <c r="P14" s="132"/>
      <c r="Q14" s="132"/>
      <c r="R14" s="132">
        <v>2</v>
      </c>
      <c r="S14" s="132"/>
      <c r="T14" s="132"/>
      <c r="U14" s="132">
        <v>1</v>
      </c>
      <c r="V14" s="132"/>
      <c r="W14" s="132"/>
      <c r="X14" s="132"/>
      <c r="Y14" s="132">
        <v>1</v>
      </c>
      <c r="Z14" s="132"/>
      <c r="AA14" s="132"/>
      <c r="AB14" s="132"/>
      <c r="AC14" s="132">
        <v>2</v>
      </c>
      <c r="AD14" s="133"/>
      <c r="AE14" s="134">
        <v>13</v>
      </c>
    </row>
    <row r="15" spans="1:278" x14ac:dyDescent="0.25">
      <c r="A15" s="58" t="s">
        <v>110</v>
      </c>
      <c r="B15" s="131">
        <v>1</v>
      </c>
      <c r="C15" s="132"/>
      <c r="D15" s="132"/>
      <c r="E15" s="132">
        <v>1</v>
      </c>
      <c r="F15" s="132"/>
      <c r="G15" s="132">
        <v>3</v>
      </c>
      <c r="H15" s="132">
        <v>4</v>
      </c>
      <c r="I15" s="132">
        <v>1</v>
      </c>
      <c r="J15" s="132">
        <v>2</v>
      </c>
      <c r="K15" s="132">
        <v>3</v>
      </c>
      <c r="L15" s="132"/>
      <c r="M15" s="132"/>
      <c r="N15" s="132"/>
      <c r="O15" s="132">
        <v>6</v>
      </c>
      <c r="P15" s="132">
        <v>2</v>
      </c>
      <c r="Q15" s="132"/>
      <c r="R15" s="132">
        <v>7</v>
      </c>
      <c r="S15" s="132"/>
      <c r="T15" s="132">
        <v>1</v>
      </c>
      <c r="U15" s="132">
        <v>5</v>
      </c>
      <c r="V15" s="132">
        <v>1</v>
      </c>
      <c r="W15" s="132">
        <v>5</v>
      </c>
      <c r="X15" s="132">
        <v>4</v>
      </c>
      <c r="Y15" s="132"/>
      <c r="Z15" s="132"/>
      <c r="AA15" s="132"/>
      <c r="AB15" s="132"/>
      <c r="AC15" s="132"/>
      <c r="AD15" s="133"/>
      <c r="AE15" s="134">
        <v>46</v>
      </c>
    </row>
    <row r="16" spans="1:278" x14ac:dyDescent="0.25">
      <c r="A16" s="58" t="s">
        <v>51</v>
      </c>
      <c r="B16" s="131"/>
      <c r="C16" s="132"/>
      <c r="D16" s="132">
        <v>1</v>
      </c>
      <c r="E16" s="132"/>
      <c r="F16" s="132"/>
      <c r="G16" s="132">
        <v>1</v>
      </c>
      <c r="H16" s="132"/>
      <c r="I16" s="132"/>
      <c r="J16" s="132"/>
      <c r="K16" s="132"/>
      <c r="L16" s="132"/>
      <c r="M16" s="132"/>
      <c r="N16" s="132">
        <v>3</v>
      </c>
      <c r="O16" s="132"/>
      <c r="P16" s="132">
        <v>5</v>
      </c>
      <c r="Q16" s="132"/>
      <c r="R16" s="132"/>
      <c r="S16" s="132"/>
      <c r="T16" s="132"/>
      <c r="U16" s="132">
        <v>4</v>
      </c>
      <c r="V16" s="132"/>
      <c r="W16" s="132"/>
      <c r="X16" s="132"/>
      <c r="Y16" s="132"/>
      <c r="Z16" s="132"/>
      <c r="AA16" s="132">
        <v>3</v>
      </c>
      <c r="AB16" s="132"/>
      <c r="AC16" s="132">
        <v>2</v>
      </c>
      <c r="AD16" s="133"/>
      <c r="AE16" s="134">
        <v>19</v>
      </c>
    </row>
    <row r="17" spans="1:31" x14ac:dyDescent="0.25">
      <c r="A17" s="58" t="s">
        <v>681</v>
      </c>
      <c r="B17" s="131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>
        <v>1</v>
      </c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3"/>
      <c r="AE17" s="134">
        <v>1</v>
      </c>
    </row>
    <row r="18" spans="1:31" x14ac:dyDescent="0.25">
      <c r="A18" s="58" t="s">
        <v>103</v>
      </c>
      <c r="B18" s="131"/>
      <c r="C18" s="132"/>
      <c r="D18" s="132"/>
      <c r="E18" s="132">
        <v>4</v>
      </c>
      <c r="F18" s="132"/>
      <c r="G18" s="132">
        <v>5</v>
      </c>
      <c r="H18" s="132">
        <v>5</v>
      </c>
      <c r="I18" s="132">
        <v>4</v>
      </c>
      <c r="J18" s="132">
        <v>5</v>
      </c>
      <c r="K18" s="132">
        <v>5</v>
      </c>
      <c r="L18" s="132"/>
      <c r="M18" s="132"/>
      <c r="N18" s="132">
        <v>7</v>
      </c>
      <c r="O18" s="132">
        <v>11</v>
      </c>
      <c r="P18" s="132">
        <v>8</v>
      </c>
      <c r="Q18" s="132">
        <v>10</v>
      </c>
      <c r="R18" s="132">
        <v>3</v>
      </c>
      <c r="S18" s="132"/>
      <c r="T18" s="132"/>
      <c r="U18" s="132"/>
      <c r="V18" s="132">
        <v>2</v>
      </c>
      <c r="W18" s="132">
        <v>1</v>
      </c>
      <c r="X18" s="132">
        <v>4</v>
      </c>
      <c r="Y18" s="132"/>
      <c r="Z18" s="132"/>
      <c r="AA18" s="132">
        <v>3</v>
      </c>
      <c r="AB18" s="132"/>
      <c r="AC18" s="132"/>
      <c r="AD18" s="133">
        <v>3</v>
      </c>
      <c r="AE18" s="134">
        <v>80</v>
      </c>
    </row>
    <row r="19" spans="1:31" x14ac:dyDescent="0.25">
      <c r="A19" s="58" t="s">
        <v>133</v>
      </c>
      <c r="B19" s="131">
        <v>1</v>
      </c>
      <c r="C19" s="132"/>
      <c r="D19" s="132"/>
      <c r="E19" s="132"/>
      <c r="F19" s="132"/>
      <c r="G19" s="132"/>
      <c r="H19" s="132">
        <v>2</v>
      </c>
      <c r="I19" s="132"/>
      <c r="J19" s="132"/>
      <c r="K19" s="132">
        <v>1</v>
      </c>
      <c r="L19" s="132"/>
      <c r="M19" s="132">
        <v>2</v>
      </c>
      <c r="N19" s="132"/>
      <c r="O19" s="132">
        <v>1</v>
      </c>
      <c r="P19" s="132"/>
      <c r="Q19" s="132"/>
      <c r="R19" s="132"/>
      <c r="S19" s="132"/>
      <c r="T19" s="132"/>
      <c r="U19" s="132"/>
      <c r="V19" s="132">
        <v>2</v>
      </c>
      <c r="W19" s="132"/>
      <c r="X19" s="132"/>
      <c r="Y19" s="132"/>
      <c r="Z19" s="132"/>
      <c r="AA19" s="132">
        <v>5</v>
      </c>
      <c r="AB19" s="132"/>
      <c r="AC19" s="132"/>
      <c r="AD19" s="133"/>
      <c r="AE19" s="134">
        <v>14</v>
      </c>
    </row>
    <row r="20" spans="1:31" x14ac:dyDescent="0.25">
      <c r="A20" s="58" t="s">
        <v>68</v>
      </c>
      <c r="B20" s="131">
        <v>5</v>
      </c>
      <c r="C20" s="132">
        <v>4</v>
      </c>
      <c r="D20" s="132">
        <v>10</v>
      </c>
      <c r="E20" s="132">
        <v>6</v>
      </c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>
        <v>2</v>
      </c>
      <c r="R20" s="132">
        <v>8</v>
      </c>
      <c r="S20" s="132"/>
      <c r="T20" s="132"/>
      <c r="U20" s="132">
        <v>9</v>
      </c>
      <c r="V20" s="132">
        <v>8</v>
      </c>
      <c r="W20" s="132">
        <v>11</v>
      </c>
      <c r="X20" s="132">
        <v>2</v>
      </c>
      <c r="Y20" s="132">
        <v>4</v>
      </c>
      <c r="Z20" s="132"/>
      <c r="AA20" s="132">
        <v>8</v>
      </c>
      <c r="AB20" s="132"/>
      <c r="AC20" s="132">
        <v>4</v>
      </c>
      <c r="AD20" s="133">
        <v>1</v>
      </c>
      <c r="AE20" s="134">
        <v>82</v>
      </c>
    </row>
    <row r="21" spans="1:31" x14ac:dyDescent="0.25">
      <c r="A21" s="58" t="s">
        <v>217</v>
      </c>
      <c r="B21" s="135"/>
      <c r="C21" s="136">
        <v>2</v>
      </c>
      <c r="D21" s="136">
        <v>1</v>
      </c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>
        <v>2</v>
      </c>
      <c r="S21" s="136">
        <v>1</v>
      </c>
      <c r="T21" s="136"/>
      <c r="U21" s="136"/>
      <c r="V21" s="136"/>
      <c r="W21" s="136"/>
      <c r="X21" s="136"/>
      <c r="Y21" s="136">
        <v>1</v>
      </c>
      <c r="Z21" s="136"/>
      <c r="AA21" s="136"/>
      <c r="AB21" s="136"/>
      <c r="AC21" s="136"/>
      <c r="AD21" s="137"/>
      <c r="AE21" s="138">
        <v>7</v>
      </c>
    </row>
    <row r="22" spans="1:31" x14ac:dyDescent="0.25">
      <c r="A22" s="139" t="s">
        <v>1466</v>
      </c>
      <c r="B22" s="140">
        <v>22</v>
      </c>
      <c r="C22" s="141">
        <v>23</v>
      </c>
      <c r="D22" s="141">
        <v>23</v>
      </c>
      <c r="E22" s="141">
        <v>14</v>
      </c>
      <c r="F22" s="141">
        <v>2</v>
      </c>
      <c r="G22" s="141">
        <v>20</v>
      </c>
      <c r="H22" s="141">
        <v>29</v>
      </c>
      <c r="I22" s="141">
        <v>17</v>
      </c>
      <c r="J22" s="141">
        <v>18</v>
      </c>
      <c r="K22" s="141">
        <v>13</v>
      </c>
      <c r="L22" s="141">
        <v>1</v>
      </c>
      <c r="M22" s="141">
        <v>4</v>
      </c>
      <c r="N22" s="141">
        <v>22</v>
      </c>
      <c r="O22" s="141">
        <v>28</v>
      </c>
      <c r="P22" s="141">
        <v>32</v>
      </c>
      <c r="Q22" s="141">
        <v>28</v>
      </c>
      <c r="R22" s="141">
        <v>29</v>
      </c>
      <c r="S22" s="141">
        <v>1</v>
      </c>
      <c r="T22" s="141">
        <v>2</v>
      </c>
      <c r="U22" s="141">
        <v>38</v>
      </c>
      <c r="V22" s="141">
        <v>31</v>
      </c>
      <c r="W22" s="141">
        <v>31</v>
      </c>
      <c r="X22" s="141">
        <v>21</v>
      </c>
      <c r="Y22" s="141">
        <v>19</v>
      </c>
      <c r="Z22" s="141">
        <v>2</v>
      </c>
      <c r="AA22" s="141">
        <v>28</v>
      </c>
      <c r="AB22" s="141">
        <v>4</v>
      </c>
      <c r="AC22" s="141">
        <v>30</v>
      </c>
      <c r="AD22" s="142">
        <v>19</v>
      </c>
      <c r="AE22" s="143">
        <v>551</v>
      </c>
    </row>
    <row r="23" spans="1:31" x14ac:dyDescent="0.25">
      <c r="A23"/>
      <c r="G23"/>
    </row>
    <row r="24" spans="1:31" x14ac:dyDescent="0.25">
      <c r="A24"/>
      <c r="G24"/>
    </row>
    <row r="25" spans="1:31" x14ac:dyDescent="0.25">
      <c r="A25"/>
      <c r="G25"/>
    </row>
    <row r="26" spans="1:31" x14ac:dyDescent="0.25">
      <c r="A26"/>
      <c r="G26"/>
    </row>
    <row r="27" spans="1:31" x14ac:dyDescent="0.25">
      <c r="A27"/>
      <c r="G27"/>
    </row>
    <row r="28" spans="1:31" x14ac:dyDescent="0.25">
      <c r="A28"/>
      <c r="G2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4:C9"/>
  <sheetViews>
    <sheetView zoomScale="175" zoomScaleNormal="175" workbookViewId="0">
      <selection activeCell="T6" sqref="T6"/>
    </sheetView>
  </sheetViews>
  <sheetFormatPr defaultColWidth="8.7109375" defaultRowHeight="15" x14ac:dyDescent="0.25"/>
  <cols>
    <col min="1" max="1" width="14.28515625" style="6" customWidth="1"/>
    <col min="2" max="2" width="17.85546875" customWidth="1"/>
    <col min="3" max="4" width="18.42578125" customWidth="1"/>
    <col min="5" max="9" width="2.28515625" customWidth="1"/>
    <col min="10" max="18" width="3.42578125" customWidth="1"/>
    <col min="19" max="19" width="8.5703125" customWidth="1"/>
    <col min="20" max="26" width="10.5703125" customWidth="1"/>
    <col min="27" max="27" width="17.5703125" customWidth="1"/>
    <col min="28" max="47" width="5.5703125" customWidth="1"/>
    <col min="48" max="48" width="17.5703125" customWidth="1"/>
    <col min="49" max="69" width="5.5703125" customWidth="1"/>
    <col min="70" max="70" width="17.5703125" customWidth="1"/>
    <col min="71" max="90" width="5.5703125" customWidth="1"/>
    <col min="91" max="91" width="17.5703125" customWidth="1"/>
    <col min="92" max="114" width="5.5703125" customWidth="1"/>
    <col min="115" max="115" width="17.5703125" customWidth="1"/>
    <col min="116" max="135" width="5.5703125" customWidth="1"/>
    <col min="136" max="136" width="17.5703125" customWidth="1"/>
    <col min="137" max="159" width="5.5703125" customWidth="1"/>
    <col min="160" max="160" width="17.5703125" customWidth="1"/>
    <col min="161" max="174" width="5.5703125" customWidth="1"/>
    <col min="175" max="175" width="17.5703125" customWidth="1"/>
    <col min="176" max="179" width="4.5703125" customWidth="1"/>
    <col min="180" max="180" width="17.5703125" customWidth="1"/>
    <col min="181" max="182" width="6.28515625" customWidth="1"/>
    <col min="183" max="183" width="18.7109375" customWidth="1"/>
    <col min="184" max="185" width="6.28515625" customWidth="1"/>
    <col min="186" max="186" width="18.7109375" customWidth="1"/>
    <col min="187" max="188" width="6.28515625" customWidth="1"/>
    <col min="189" max="189" width="18.7109375" customWidth="1"/>
    <col min="190" max="190" width="13.28515625" customWidth="1"/>
    <col min="191" max="194" width="7.28515625" customWidth="1"/>
    <col min="195" max="195" width="8" customWidth="1"/>
    <col min="196" max="196" width="6.140625" customWidth="1"/>
    <col min="198" max="198" width="6.140625" customWidth="1"/>
    <col min="200" max="203" width="5.5703125" customWidth="1"/>
    <col min="204" max="204" width="8.5703125" customWidth="1"/>
    <col min="208" max="208" width="12.140625" customWidth="1"/>
    <col min="209" max="209" width="11.28515625" customWidth="1"/>
  </cols>
  <sheetData>
    <row r="4" spans="1:3" x14ac:dyDescent="0.25">
      <c r="A4" s="28" t="s">
        <v>18</v>
      </c>
      <c r="B4" s="29" t="s">
        <v>1458</v>
      </c>
    </row>
    <row r="5" spans="1:3" x14ac:dyDescent="0.25">
      <c r="A5" s="28" t="s">
        <v>28</v>
      </c>
      <c r="B5" s="29" t="s">
        <v>1455</v>
      </c>
    </row>
    <row r="6" spans="1:3" x14ac:dyDescent="0.25">
      <c r="A6"/>
    </row>
    <row r="7" spans="1:3" s="3" customFormat="1" x14ac:dyDescent="0.25">
      <c r="A7" s="30"/>
      <c r="B7" s="31"/>
      <c r="C7"/>
    </row>
    <row r="8" spans="1:3" s="3" customFormat="1" x14ac:dyDescent="0.25">
      <c r="A8" s="32"/>
      <c r="B8" s="33"/>
      <c r="C8"/>
    </row>
    <row r="9" spans="1:3" s="3" customFormat="1" x14ac:dyDescent="0.25">
      <c r="A9"/>
      <c r="B9"/>
      <c r="C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K18"/>
  <sheetViews>
    <sheetView showGridLines="0" zoomScale="115" zoomScaleNormal="11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E19" sqref="E19"/>
    </sheetView>
  </sheetViews>
  <sheetFormatPr defaultColWidth="17.85546875" defaultRowHeight="15" x14ac:dyDescent="0.25"/>
  <cols>
    <col min="1" max="1" width="18.140625" customWidth="1"/>
    <col min="2" max="2" width="20.140625" customWidth="1"/>
    <col min="3" max="3" width="15.7109375" customWidth="1"/>
    <col min="4" max="4" width="15.140625" customWidth="1"/>
    <col min="5" max="5" width="15.85546875" customWidth="1"/>
    <col min="6" max="6" width="18.140625" customWidth="1"/>
    <col min="7" max="7" width="15.5703125" customWidth="1"/>
    <col min="8" max="9" width="15.7109375" customWidth="1"/>
    <col min="10" max="10" width="15.7109375" style="144" customWidth="1"/>
    <col min="11" max="19" width="15.7109375" customWidth="1"/>
    <col min="20" max="20" width="22" customWidth="1"/>
  </cols>
  <sheetData>
    <row r="2" spans="1:8" ht="15" customHeight="1" x14ac:dyDescent="0.25">
      <c r="A2" s="145"/>
      <c r="B2" s="145"/>
      <c r="C2" s="145"/>
      <c r="D2" s="145"/>
      <c r="E2" s="145"/>
      <c r="F2" s="145"/>
      <c r="G2" s="145"/>
      <c r="H2" s="145"/>
    </row>
    <row r="3" spans="1:8" ht="15" customHeight="1" x14ac:dyDescent="0.25">
      <c r="A3" s="145"/>
      <c r="B3" s="145"/>
      <c r="C3" s="145"/>
      <c r="D3" s="145"/>
      <c r="E3" s="145"/>
      <c r="F3" s="145"/>
      <c r="G3" s="145"/>
      <c r="H3" s="145"/>
    </row>
    <row r="4" spans="1:8" x14ac:dyDescent="0.25">
      <c r="A4" s="145"/>
      <c r="B4" s="145"/>
      <c r="C4" s="145"/>
      <c r="D4" s="145"/>
      <c r="E4" s="145"/>
      <c r="F4" s="145"/>
      <c r="G4" s="145"/>
      <c r="H4" s="145"/>
    </row>
    <row r="5" spans="1:8" x14ac:dyDescent="0.25">
      <c r="A5" s="28" t="s">
        <v>21</v>
      </c>
      <c r="B5" s="29" t="s">
        <v>1455</v>
      </c>
      <c r="C5" s="145"/>
      <c r="D5" s="145"/>
      <c r="E5" s="145"/>
      <c r="F5" s="145"/>
      <c r="G5" s="145"/>
      <c r="H5" s="145"/>
    </row>
    <row r="6" spans="1:8" x14ac:dyDescent="0.25">
      <c r="A6" s="28" t="s">
        <v>12</v>
      </c>
      <c r="B6" s="29" t="s">
        <v>1455</v>
      </c>
    </row>
    <row r="7" spans="1:8" x14ac:dyDescent="0.25">
      <c r="A7" s="28" t="s">
        <v>8</v>
      </c>
      <c r="B7" s="29" t="s">
        <v>1455</v>
      </c>
    </row>
    <row r="9" spans="1:8" x14ac:dyDescent="0.25">
      <c r="A9" s="30"/>
      <c r="B9" s="31"/>
    </row>
    <row r="10" spans="1:8" s="4" customFormat="1" x14ac:dyDescent="0.25">
      <c r="A10" s="32"/>
      <c r="B10" s="33"/>
      <c r="C10"/>
      <c r="D10"/>
      <c r="E10"/>
      <c r="F10"/>
      <c r="G10"/>
    </row>
    <row r="16" spans="1:8" x14ac:dyDescent="0.25">
      <c r="C16" s="146">
        <v>44562</v>
      </c>
      <c r="D16" s="29">
        <v>1230</v>
      </c>
    </row>
    <row r="17" spans="3:11" x14ac:dyDescent="0.25">
      <c r="C17" s="146">
        <v>44682</v>
      </c>
      <c r="D17" s="29">
        <v>1320</v>
      </c>
      <c r="K17" s="147"/>
    </row>
    <row r="18" spans="3:11" x14ac:dyDescent="0.25">
      <c r="C18" s="146">
        <v>44743</v>
      </c>
      <c r="D18" s="29">
        <v>1452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J18"/>
  <sheetViews>
    <sheetView showGridLines="0" zoomScale="60" zoomScaleNormal="60" workbookViewId="0">
      <selection activeCell="H34" sqref="H34"/>
    </sheetView>
  </sheetViews>
  <sheetFormatPr defaultColWidth="17.85546875" defaultRowHeight="15" x14ac:dyDescent="0.25"/>
  <cols>
    <col min="1" max="1" width="30.85546875" customWidth="1"/>
    <col min="2" max="2" width="34" customWidth="1"/>
    <col min="3" max="3" width="31.28515625" customWidth="1"/>
    <col min="4" max="4" width="29.42578125" customWidth="1"/>
    <col min="5" max="5" width="27.7109375" customWidth="1"/>
    <col min="6" max="6" width="21.5703125" customWidth="1"/>
    <col min="7" max="7" width="31.85546875" customWidth="1"/>
    <col min="8" max="8" width="32.28515625" customWidth="1"/>
    <col min="9" max="9" width="37.28515625" customWidth="1"/>
    <col min="10" max="10" width="31.140625" style="144" customWidth="1"/>
    <col min="11" max="19" width="15.7109375" customWidth="1"/>
    <col min="20" max="20" width="22" customWidth="1"/>
  </cols>
  <sheetData>
    <row r="2" spans="1:10" x14ac:dyDescent="0.25">
      <c r="A2" s="1" t="s">
        <v>1540</v>
      </c>
      <c r="B2" s="1"/>
      <c r="C2" s="1"/>
      <c r="D2" s="1"/>
      <c r="E2" s="1"/>
      <c r="F2" s="1"/>
      <c r="G2" s="1"/>
      <c r="H2" s="1"/>
    </row>
    <row r="3" spans="1:10" x14ac:dyDescent="0.25">
      <c r="A3" s="1"/>
      <c r="B3" s="1"/>
      <c r="C3" s="1"/>
      <c r="D3" s="1"/>
      <c r="E3" s="1"/>
      <c r="F3" s="1"/>
      <c r="G3" s="1"/>
      <c r="H3" s="1"/>
    </row>
    <row r="4" spans="1:10" x14ac:dyDescent="0.25">
      <c r="A4" s="1"/>
      <c r="B4" s="1"/>
      <c r="C4" s="1"/>
      <c r="D4" s="1"/>
      <c r="E4" s="1"/>
      <c r="F4" s="1"/>
      <c r="G4" s="1"/>
      <c r="H4" s="1"/>
    </row>
    <row r="5" spans="1:10" x14ac:dyDescent="0.25">
      <c r="A5" s="1"/>
      <c r="B5" s="1"/>
      <c r="C5" s="1"/>
      <c r="D5" s="1"/>
      <c r="E5" s="1"/>
      <c r="F5" s="1"/>
      <c r="G5" s="1"/>
      <c r="H5" s="1"/>
    </row>
    <row r="6" spans="1:10" ht="46.5" x14ac:dyDescent="0.25">
      <c r="A6" s="28" t="s">
        <v>8</v>
      </c>
      <c r="B6" s="29" t="s">
        <v>1458</v>
      </c>
      <c r="C6" s="148"/>
      <c r="D6" s="148"/>
      <c r="E6" s="148"/>
      <c r="F6" s="148"/>
      <c r="G6" s="148"/>
      <c r="H6" s="148"/>
    </row>
    <row r="7" spans="1:10" x14ac:dyDescent="0.25">
      <c r="A7" s="28" t="s">
        <v>12</v>
      </c>
      <c r="B7" s="29" t="s">
        <v>1455</v>
      </c>
    </row>
    <row r="8" spans="1:10" ht="28.5" x14ac:dyDescent="0.45">
      <c r="A8" s="28" t="s">
        <v>32</v>
      </c>
      <c r="B8" s="29" t="s">
        <v>528</v>
      </c>
      <c r="C8" s="149"/>
      <c r="D8" s="149"/>
      <c r="E8" s="149"/>
      <c r="F8" s="149"/>
      <c r="G8" s="149"/>
      <c r="H8" s="149"/>
    </row>
    <row r="9" spans="1:10" ht="28.5" x14ac:dyDescent="0.45">
      <c r="C9" s="149"/>
      <c r="D9" s="149"/>
      <c r="E9" s="149"/>
      <c r="F9" s="149"/>
      <c r="G9" s="149"/>
      <c r="H9" s="149"/>
    </row>
    <row r="10" spans="1:10" x14ac:dyDescent="0.25">
      <c r="A10" s="30"/>
      <c r="B10" s="31"/>
      <c r="J10"/>
    </row>
    <row r="11" spans="1:10" s="4" customFormat="1" x14ac:dyDescent="0.25">
      <c r="A11" s="32"/>
      <c r="B11" s="33"/>
      <c r="C11"/>
      <c r="D11"/>
      <c r="E11"/>
      <c r="F11"/>
      <c r="G11"/>
      <c r="H11"/>
      <c r="I11"/>
      <c r="J11"/>
    </row>
    <row r="12" spans="1:10" x14ac:dyDescent="0.25">
      <c r="J12"/>
    </row>
    <row r="13" spans="1:10" x14ac:dyDescent="0.25">
      <c r="J13"/>
    </row>
    <row r="14" spans="1:10" x14ac:dyDescent="0.25">
      <c r="J14"/>
    </row>
    <row r="15" spans="1:10" x14ac:dyDescent="0.25">
      <c r="J15"/>
    </row>
    <row r="16" spans="1:10" x14ac:dyDescent="0.25">
      <c r="J16"/>
    </row>
    <row r="17" spans="10:10" x14ac:dyDescent="0.25">
      <c r="J17"/>
    </row>
    <row r="18" spans="10:10" x14ac:dyDescent="0.25">
      <c r="J18"/>
    </row>
  </sheetData>
  <mergeCells count="1">
    <mergeCell ref="A2:H5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Microsoft Excel</Application>
  <DocSecurity>0</DocSecurity>
  <ScaleCrop>false</ScaleCrop>
  <HeadingPairs>
    <vt:vector size="4" baseType="variant">
      <vt:variant>
        <vt:lpstr>Hárky</vt:lpstr>
      </vt:variant>
      <vt:variant>
        <vt:i4>10</vt:i4>
      </vt:variant>
      <vt:variant>
        <vt:lpstr>Pomenované rozsahy</vt:lpstr>
      </vt:variant>
      <vt:variant>
        <vt:i4>3</vt:i4>
      </vt:variant>
    </vt:vector>
  </HeadingPairs>
  <TitlesOfParts>
    <vt:vector size="13" baseType="lpstr">
      <vt:lpstr>Start</vt:lpstr>
      <vt:lpstr>databaza</vt:lpstr>
      <vt:lpstr>minuly tyzden</vt:lpstr>
      <vt:lpstr>MF new</vt:lpstr>
      <vt:lpstr>MF</vt:lpstr>
      <vt:lpstr>30dnova </vt:lpstr>
      <vt:lpstr>dopravcovia</vt:lpstr>
      <vt:lpstr>negativne transporty</vt:lpstr>
      <vt:lpstr>LTL</vt:lpstr>
      <vt:lpstr>SPOT TPO</vt:lpstr>
      <vt:lpstr>_xlcn.LinkedTable_Table11</vt:lpstr>
      <vt:lpstr>'SPOT TPO'!Oblasť_tlače</vt:lpstr>
      <vt:lpstr>setFiles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GEFCO</dc:creator>
  <dc:description/>
  <cp:lastModifiedBy>Sára Guziová</cp:lastModifiedBy>
  <cp:revision>1</cp:revision>
  <cp:lastPrinted>2023-09-11T11:55:30Z</cp:lastPrinted>
  <dcterms:created xsi:type="dcterms:W3CDTF">2018-03-05T07:07:44Z</dcterms:created>
  <dcterms:modified xsi:type="dcterms:W3CDTF">2024-01-22T11:42:32Z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horIds_UIVersion_23040">
    <vt:lpwstr>17</vt:lpwstr>
  </property>
  <property fmtid="{D5CDD505-2E9C-101B-9397-08002B2CF9AE}" pid="3" name="AuthorIds_UIVersion_23552">
    <vt:lpwstr>17</vt:lpwstr>
  </property>
  <property fmtid="{D5CDD505-2E9C-101B-9397-08002B2CF9AE}" pid="4" name="AuthorIds_UIVersion_8192">
    <vt:lpwstr>17</vt:lpwstr>
  </property>
  <property fmtid="{D5CDD505-2E9C-101B-9397-08002B2CF9AE}" pid="5" name="AuthorIds_UIVersion_8704">
    <vt:lpwstr>17</vt:lpwstr>
  </property>
  <property fmtid="{D5CDD505-2E9C-101B-9397-08002B2CF9AE}" pid="6" name="ContentTypeId">
    <vt:lpwstr>0x0101007D1AF23EA87D0B43AD30C4ED8A7DFCBB</vt:lpwstr>
  </property>
  <property fmtid="{D5CDD505-2E9C-101B-9397-08002B2CF9AE}" pid="7" name="CustomUiType">
    <vt:lpwstr>2</vt:lpwstr>
  </property>
  <property fmtid="{D5CDD505-2E9C-101B-9397-08002B2CF9AE}" pid="8" name="MediaServiceImageTags">
    <vt:lpwstr/>
  </property>
  <property fmtid="{D5CDD505-2E9C-101B-9397-08002B2CF9AE}" pid="9" name="Order">
    <vt:r8>1506300</vt:r8>
  </property>
</Properties>
</file>